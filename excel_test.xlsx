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mkeen\Downloads\"/>
    </mc:Choice>
  </mc:AlternateContent>
  <xr:revisionPtr revIDLastSave="0" documentId="13_ncr:1_{5BA15678-1ED4-43EA-ACA5-DC472CF86D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ic_10Q" sheetId="1" r:id="rId1"/>
    <sheet name="Intermediate 10Q" sheetId="2" r:id="rId2"/>
    <sheet name="Lookup_10Q" sheetId="3" r:id="rId3"/>
    <sheet name="Pivot_Dashboard_Q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3" l="1"/>
  <c r="F40" i="3"/>
  <c r="F37" i="3"/>
  <c r="F34" i="3"/>
  <c r="F25" i="3"/>
  <c r="F22" i="3"/>
  <c r="F19" i="3"/>
  <c r="F16" i="3"/>
  <c r="J152" i="2"/>
  <c r="J149" i="2"/>
  <c r="J146" i="2"/>
  <c r="J143" i="2"/>
  <c r="J140" i="2"/>
  <c r="J137" i="2"/>
  <c r="J134" i="2"/>
  <c r="J131" i="2"/>
  <c r="J149" i="1"/>
  <c r="J147" i="1"/>
  <c r="J145" i="1"/>
  <c r="J143" i="1"/>
  <c r="J141" i="1"/>
  <c r="J139" i="1"/>
  <c r="J137" i="1"/>
  <c r="J135" i="1"/>
  <c r="J133" i="1"/>
  <c r="J131" i="1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<sst xmlns="http://schemas.openxmlformats.org/spreadsheetml/2006/main" count="861" uniqueCount="70">
  <si>
    <t>Date</t>
  </si>
  <si>
    <t>Salesperson</t>
  </si>
  <si>
    <t>Region</t>
  </si>
  <si>
    <t>Category</t>
  </si>
  <si>
    <t>Units</t>
  </si>
  <si>
    <t>Price</t>
  </si>
  <si>
    <t>Total</t>
  </si>
  <si>
    <t>Amit</t>
  </si>
  <si>
    <t>West</t>
  </si>
  <si>
    <t>Tablet</t>
  </si>
  <si>
    <t>North</t>
  </si>
  <si>
    <t>Mobile</t>
  </si>
  <si>
    <t>Riya</t>
  </si>
  <si>
    <t>East</t>
  </si>
  <si>
    <t>Arjun</t>
  </si>
  <si>
    <t>South</t>
  </si>
  <si>
    <t>Accessory</t>
  </si>
  <si>
    <t>Neha</t>
  </si>
  <si>
    <t>Karan</t>
  </si>
  <si>
    <t>Sneha</t>
  </si>
  <si>
    <t>Laptop</t>
  </si>
  <si>
    <t>Rahul</t>
  </si>
  <si>
    <t>Priya</t>
  </si>
  <si>
    <t>Q1: Total Revenue</t>
  </si>
  <si>
    <t>Your Answer:</t>
  </si>
  <si>
    <t>Q2: Average Revenue</t>
  </si>
  <si>
    <t>Q3: Maximum Revenue</t>
  </si>
  <si>
    <t>Q4: Minimum Revenue</t>
  </si>
  <si>
    <t>Q5: Total Units Sold</t>
  </si>
  <si>
    <t>Q6: Average Units</t>
  </si>
  <si>
    <t>Q7: Count Entries</t>
  </si>
  <si>
    <t>Q8: North Region Revenue</t>
  </si>
  <si>
    <t>Q9: Laptop Revenue</t>
  </si>
  <si>
    <t>Q10: West Region Count</t>
  </si>
  <si>
    <t>Q1: Count South Region</t>
  </si>
  <si>
    <t>Q2: Revenue East</t>
  </si>
  <si>
    <t>Q3: Revenue North Laptop</t>
  </si>
  <si>
    <t>Q4: Count West Mobile</t>
  </si>
  <si>
    <t>Q5: Min North Revenue</t>
  </si>
  <si>
    <t>Q6: Max South Revenue</t>
  </si>
  <si>
    <t>Q7: Avg East Revenue</t>
  </si>
  <si>
    <t>Q8: Avg North Laptop</t>
  </si>
  <si>
    <t>Q9: IF Revenue &gt;2000000</t>
  </si>
  <si>
    <t>Q10: Nested IF Units</t>
  </si>
  <si>
    <t>Target</t>
  </si>
  <si>
    <t>Q1: VLOOKUP Target for Amit</t>
  </si>
  <si>
    <t>Q2: HLOOKUP Example</t>
  </si>
  <si>
    <t>Q3: XLOOKUP Riya Target</t>
  </si>
  <si>
    <t>Q4: XLOOKUP Region of Karan</t>
  </si>
  <si>
    <t>Q5: IF Target&gt;300000</t>
  </si>
  <si>
    <t>Q7: Lookup Priya Target</t>
  </si>
  <si>
    <t>Q8: Lookup Neha Region</t>
  </si>
  <si>
    <t>Q9: Lookup Arjun Target</t>
  </si>
  <si>
    <t>Q10: Lookup Amit Region</t>
  </si>
  <si>
    <t>Use Basic_10Q data to create:</t>
  </si>
  <si>
    <t>Q1: Region-wise Total Revenue Pivot</t>
  </si>
  <si>
    <t>Q2: Category-wise Units Sold Pivot</t>
  </si>
  <si>
    <t>Q3: Salesperson-wise Revenue Pivot</t>
  </si>
  <si>
    <t>Q4: Create Dashboard with 2 Charts (Region &amp; Category)</t>
  </si>
  <si>
    <t>Q5: Add Slicer for Region</t>
  </si>
  <si>
    <t>Q6: Add Slicer for Category</t>
  </si>
  <si>
    <t>Q7: Show Top 3 Salespersons</t>
  </si>
  <si>
    <t>Q8: Show % Contribution by Region</t>
  </si>
  <si>
    <t>Q10: Create KPI Card for Total Revenue</t>
  </si>
  <si>
    <t>Q6: Nested XLOOKUP (solve Q5 using this approch)</t>
  </si>
  <si>
    <t>Grand Total</t>
  </si>
  <si>
    <t>Revenue</t>
  </si>
  <si>
    <t>Units Sold</t>
  </si>
  <si>
    <t>%Contribution</t>
  </si>
  <si>
    <t>Top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</si>
</sst>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21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keen" refreshedDate="46064.521709606481" createdVersion="8" refreshedVersion="8" minRefreshableVersion="3" recordCount="120" xr:uid="{A6886DE0-10F2-40E4-A826-AF54A3B6B7F9}">
  <cacheSource type="worksheet">
    <worksheetSource ref="A1:G121" sheet="Basic_10Q"/>
  </cacheSource>
  <cacheFields count="7">
    <cacheField name="Date" numFmtId="164">
      <sharedItems containsSemiMixedTypes="0" containsNonDate="0" containsDate="1" containsString="0" minDate="2025-01-02T00:00:00" maxDate="2025-05-02T00:00:00"/>
    </cacheField>
    <cacheField name="Salesperson" numFmtId="0">
      <sharedItems count="8">
        <s v="Amit"/>
        <s v="Riya"/>
        <s v="Arjun"/>
        <s v="Neha"/>
        <s v="Karan"/>
        <s v="Sneha"/>
        <s v="Rahul"/>
        <s v="Priya"/>
      </sharedItems>
    </cacheField>
    <cacheField name="Region" numFmtId="0">
      <sharedItems count="4">
        <s v="West"/>
        <s v="North"/>
        <s v="East"/>
        <s v="South"/>
      </sharedItems>
    </cacheField>
    <cacheField name="Category" numFmtId="0">
      <sharedItems count="4">
        <s v="Tablet"/>
        <s v="Mobile"/>
        <s v="Accessory"/>
        <s v="Laptop"/>
      </sharedItems>
    </cacheField>
    <cacheField name="Units" numFmtId="0">
      <sharedItems containsSemiMixedTypes="0" containsString="0" containsNumber="1" containsInteger="1" minValue="8" maxValue="197"/>
    </cacheField>
    <cacheField name="Price" numFmtId="0">
      <sharedItems containsSemiMixedTypes="0" containsString="0" containsNumber="1" containsInteger="1" minValue="511" maxValue="4965"/>
    </cacheField>
    <cacheField name="Total" numFmtId="0">
      <sharedItems containsSemiMixedTypes="0" containsString="0" containsNumber="1" containsInteger="1" minValue="7560" maxValue="893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5-01-02T00:00:00"/>
    <x v="0"/>
    <x v="0"/>
    <x v="0"/>
    <n v="118"/>
    <n v="3812"/>
    <n v="449816"/>
  </r>
  <r>
    <d v="2025-01-03T00:00:00"/>
    <x v="0"/>
    <x v="1"/>
    <x v="1"/>
    <n v="190"/>
    <n v="3292"/>
    <n v="625480"/>
  </r>
  <r>
    <d v="2025-01-04T00:00:00"/>
    <x v="1"/>
    <x v="2"/>
    <x v="1"/>
    <n v="184"/>
    <n v="1079"/>
    <n v="198536"/>
  </r>
  <r>
    <d v="2025-01-05T00:00:00"/>
    <x v="2"/>
    <x v="3"/>
    <x v="2"/>
    <n v="16"/>
    <n v="910"/>
    <n v="14560"/>
  </r>
  <r>
    <d v="2025-01-06T00:00:00"/>
    <x v="3"/>
    <x v="2"/>
    <x v="1"/>
    <n v="56"/>
    <n v="3087"/>
    <n v="172872"/>
  </r>
  <r>
    <d v="2025-01-07T00:00:00"/>
    <x v="4"/>
    <x v="2"/>
    <x v="2"/>
    <n v="194"/>
    <n v="4204"/>
    <n v="815576"/>
  </r>
  <r>
    <d v="2025-01-08T00:00:00"/>
    <x v="1"/>
    <x v="2"/>
    <x v="0"/>
    <n v="158"/>
    <n v="4880"/>
    <n v="771040"/>
  </r>
  <r>
    <d v="2025-01-09T00:00:00"/>
    <x v="5"/>
    <x v="0"/>
    <x v="3"/>
    <n v="50"/>
    <n v="2649"/>
    <n v="132450"/>
  </r>
  <r>
    <d v="2025-01-10T00:00:00"/>
    <x v="6"/>
    <x v="2"/>
    <x v="0"/>
    <n v="158"/>
    <n v="2075"/>
    <n v="327850"/>
  </r>
  <r>
    <d v="2025-01-11T00:00:00"/>
    <x v="0"/>
    <x v="0"/>
    <x v="0"/>
    <n v="154"/>
    <n v="3319"/>
    <n v="511126"/>
  </r>
  <r>
    <d v="2025-01-12T00:00:00"/>
    <x v="7"/>
    <x v="1"/>
    <x v="2"/>
    <n v="185"/>
    <n v="1773"/>
    <n v="328005"/>
  </r>
  <r>
    <d v="2025-01-13T00:00:00"/>
    <x v="1"/>
    <x v="2"/>
    <x v="1"/>
    <n v="171"/>
    <n v="1384"/>
    <n v="236664"/>
  </r>
  <r>
    <d v="2025-01-14T00:00:00"/>
    <x v="1"/>
    <x v="1"/>
    <x v="3"/>
    <n v="31"/>
    <n v="2665"/>
    <n v="82615"/>
  </r>
  <r>
    <d v="2025-01-15T00:00:00"/>
    <x v="6"/>
    <x v="1"/>
    <x v="1"/>
    <n v="91"/>
    <n v="4924"/>
    <n v="448084"/>
  </r>
  <r>
    <d v="2025-01-16T00:00:00"/>
    <x v="4"/>
    <x v="3"/>
    <x v="0"/>
    <n v="35"/>
    <n v="997"/>
    <n v="34895"/>
  </r>
  <r>
    <d v="2025-01-17T00:00:00"/>
    <x v="7"/>
    <x v="0"/>
    <x v="3"/>
    <n v="125"/>
    <n v="3157"/>
    <n v="394625"/>
  </r>
  <r>
    <d v="2025-01-18T00:00:00"/>
    <x v="2"/>
    <x v="2"/>
    <x v="2"/>
    <n v="172"/>
    <n v="4409"/>
    <n v="758348"/>
  </r>
  <r>
    <d v="2025-01-19T00:00:00"/>
    <x v="2"/>
    <x v="0"/>
    <x v="0"/>
    <n v="42"/>
    <n v="4141"/>
    <n v="173922"/>
  </r>
  <r>
    <d v="2025-01-20T00:00:00"/>
    <x v="1"/>
    <x v="2"/>
    <x v="0"/>
    <n v="59"/>
    <n v="1747"/>
    <n v="103073"/>
  </r>
  <r>
    <d v="2025-01-21T00:00:00"/>
    <x v="7"/>
    <x v="1"/>
    <x v="0"/>
    <n v="166"/>
    <n v="2236"/>
    <n v="371176"/>
  </r>
  <r>
    <d v="2025-01-22T00:00:00"/>
    <x v="3"/>
    <x v="1"/>
    <x v="0"/>
    <n v="71"/>
    <n v="3390"/>
    <n v="240690"/>
  </r>
  <r>
    <d v="2025-01-23T00:00:00"/>
    <x v="7"/>
    <x v="1"/>
    <x v="3"/>
    <n v="134"/>
    <n v="3581"/>
    <n v="479854"/>
  </r>
  <r>
    <d v="2025-01-24T00:00:00"/>
    <x v="2"/>
    <x v="0"/>
    <x v="1"/>
    <n v="44"/>
    <n v="2791"/>
    <n v="122804"/>
  </r>
  <r>
    <d v="2025-01-25T00:00:00"/>
    <x v="6"/>
    <x v="0"/>
    <x v="2"/>
    <n v="159"/>
    <n v="2095"/>
    <n v="333105"/>
  </r>
  <r>
    <d v="2025-01-26T00:00:00"/>
    <x v="0"/>
    <x v="0"/>
    <x v="0"/>
    <n v="78"/>
    <n v="2265"/>
    <n v="176670"/>
  </r>
  <r>
    <d v="2025-01-27T00:00:00"/>
    <x v="0"/>
    <x v="2"/>
    <x v="2"/>
    <n v="118"/>
    <n v="2167"/>
    <n v="255706"/>
  </r>
  <r>
    <d v="2025-01-28T00:00:00"/>
    <x v="7"/>
    <x v="2"/>
    <x v="1"/>
    <n v="178"/>
    <n v="3548"/>
    <n v="631544"/>
  </r>
  <r>
    <d v="2025-01-29T00:00:00"/>
    <x v="4"/>
    <x v="2"/>
    <x v="2"/>
    <n v="75"/>
    <n v="2616"/>
    <n v="196200"/>
  </r>
  <r>
    <d v="2025-01-30T00:00:00"/>
    <x v="4"/>
    <x v="0"/>
    <x v="2"/>
    <n v="135"/>
    <n v="4731"/>
    <n v="638685"/>
  </r>
  <r>
    <d v="2025-01-31T00:00:00"/>
    <x v="3"/>
    <x v="1"/>
    <x v="0"/>
    <n v="20"/>
    <n v="4780"/>
    <n v="95600"/>
  </r>
  <r>
    <d v="2025-02-01T00:00:00"/>
    <x v="6"/>
    <x v="3"/>
    <x v="0"/>
    <n v="97"/>
    <n v="3228"/>
    <n v="313116"/>
  </r>
  <r>
    <d v="2025-02-02T00:00:00"/>
    <x v="4"/>
    <x v="1"/>
    <x v="1"/>
    <n v="174"/>
    <n v="1704"/>
    <n v="296496"/>
  </r>
  <r>
    <d v="2025-02-03T00:00:00"/>
    <x v="6"/>
    <x v="2"/>
    <x v="3"/>
    <n v="53"/>
    <n v="1180"/>
    <n v="62540"/>
  </r>
  <r>
    <d v="2025-02-04T00:00:00"/>
    <x v="0"/>
    <x v="2"/>
    <x v="1"/>
    <n v="28"/>
    <n v="4172"/>
    <n v="116816"/>
  </r>
  <r>
    <d v="2025-02-05T00:00:00"/>
    <x v="4"/>
    <x v="3"/>
    <x v="1"/>
    <n v="17"/>
    <n v="3372"/>
    <n v="57324"/>
  </r>
  <r>
    <d v="2025-02-06T00:00:00"/>
    <x v="3"/>
    <x v="2"/>
    <x v="3"/>
    <n v="46"/>
    <n v="1545"/>
    <n v="71070"/>
  </r>
  <r>
    <d v="2025-02-07T00:00:00"/>
    <x v="7"/>
    <x v="0"/>
    <x v="1"/>
    <n v="129"/>
    <n v="2806"/>
    <n v="361974"/>
  </r>
  <r>
    <d v="2025-02-08T00:00:00"/>
    <x v="5"/>
    <x v="0"/>
    <x v="3"/>
    <n v="90"/>
    <n v="3937"/>
    <n v="354330"/>
  </r>
  <r>
    <d v="2025-02-09T00:00:00"/>
    <x v="7"/>
    <x v="0"/>
    <x v="3"/>
    <n v="122"/>
    <n v="867"/>
    <n v="105774"/>
  </r>
  <r>
    <d v="2025-02-10T00:00:00"/>
    <x v="4"/>
    <x v="1"/>
    <x v="1"/>
    <n v="86"/>
    <n v="4423"/>
    <n v="380378"/>
  </r>
  <r>
    <d v="2025-02-11T00:00:00"/>
    <x v="4"/>
    <x v="0"/>
    <x v="1"/>
    <n v="197"/>
    <n v="3379"/>
    <n v="665663"/>
  </r>
  <r>
    <d v="2025-02-12T00:00:00"/>
    <x v="7"/>
    <x v="3"/>
    <x v="1"/>
    <n v="56"/>
    <n v="793"/>
    <n v="44408"/>
  </r>
  <r>
    <d v="2025-02-13T00:00:00"/>
    <x v="4"/>
    <x v="0"/>
    <x v="1"/>
    <n v="27"/>
    <n v="4690"/>
    <n v="126630"/>
  </r>
  <r>
    <d v="2025-02-14T00:00:00"/>
    <x v="3"/>
    <x v="3"/>
    <x v="1"/>
    <n v="166"/>
    <n v="4093"/>
    <n v="679438"/>
  </r>
  <r>
    <d v="2025-02-15T00:00:00"/>
    <x v="0"/>
    <x v="1"/>
    <x v="3"/>
    <n v="141"/>
    <n v="3273"/>
    <n v="461493"/>
  </r>
  <r>
    <d v="2025-02-16T00:00:00"/>
    <x v="1"/>
    <x v="0"/>
    <x v="3"/>
    <n v="66"/>
    <n v="911"/>
    <n v="60126"/>
  </r>
  <r>
    <d v="2025-02-17T00:00:00"/>
    <x v="2"/>
    <x v="2"/>
    <x v="3"/>
    <n v="16"/>
    <n v="2023"/>
    <n v="32368"/>
  </r>
  <r>
    <d v="2025-02-18T00:00:00"/>
    <x v="7"/>
    <x v="0"/>
    <x v="0"/>
    <n v="47"/>
    <n v="4725"/>
    <n v="222075"/>
  </r>
  <r>
    <d v="2025-02-19T00:00:00"/>
    <x v="7"/>
    <x v="3"/>
    <x v="0"/>
    <n v="176"/>
    <n v="3389"/>
    <n v="596464"/>
  </r>
  <r>
    <d v="2025-02-20T00:00:00"/>
    <x v="0"/>
    <x v="0"/>
    <x v="0"/>
    <n v="181"/>
    <n v="4582"/>
    <n v="829342"/>
  </r>
  <r>
    <d v="2025-02-21T00:00:00"/>
    <x v="2"/>
    <x v="1"/>
    <x v="0"/>
    <n v="13"/>
    <n v="2640"/>
    <n v="34320"/>
  </r>
  <r>
    <d v="2025-02-22T00:00:00"/>
    <x v="3"/>
    <x v="2"/>
    <x v="1"/>
    <n v="10"/>
    <n v="756"/>
    <n v="7560"/>
  </r>
  <r>
    <d v="2025-02-23T00:00:00"/>
    <x v="7"/>
    <x v="2"/>
    <x v="1"/>
    <n v="38"/>
    <n v="2936"/>
    <n v="111568"/>
  </r>
  <r>
    <d v="2025-02-24T00:00:00"/>
    <x v="6"/>
    <x v="1"/>
    <x v="0"/>
    <n v="54"/>
    <n v="2360"/>
    <n v="127440"/>
  </r>
  <r>
    <d v="2025-02-25T00:00:00"/>
    <x v="2"/>
    <x v="2"/>
    <x v="2"/>
    <n v="181"/>
    <n v="3365"/>
    <n v="609065"/>
  </r>
  <r>
    <d v="2025-02-26T00:00:00"/>
    <x v="1"/>
    <x v="1"/>
    <x v="1"/>
    <n v="153"/>
    <n v="1418"/>
    <n v="216954"/>
  </r>
  <r>
    <d v="2025-02-27T00:00:00"/>
    <x v="1"/>
    <x v="1"/>
    <x v="0"/>
    <n v="85"/>
    <n v="4401"/>
    <n v="374085"/>
  </r>
  <r>
    <d v="2025-02-28T00:00:00"/>
    <x v="5"/>
    <x v="3"/>
    <x v="3"/>
    <n v="24"/>
    <n v="2782"/>
    <n v="66768"/>
  </r>
  <r>
    <d v="2025-03-01T00:00:00"/>
    <x v="6"/>
    <x v="1"/>
    <x v="3"/>
    <n v="26"/>
    <n v="4263"/>
    <n v="110838"/>
  </r>
  <r>
    <d v="2025-03-02T00:00:00"/>
    <x v="1"/>
    <x v="3"/>
    <x v="1"/>
    <n v="99"/>
    <n v="1307"/>
    <n v="129393"/>
  </r>
  <r>
    <d v="2025-03-03T00:00:00"/>
    <x v="4"/>
    <x v="3"/>
    <x v="3"/>
    <n v="65"/>
    <n v="641"/>
    <n v="41665"/>
  </r>
  <r>
    <d v="2025-03-04T00:00:00"/>
    <x v="0"/>
    <x v="3"/>
    <x v="0"/>
    <n v="16"/>
    <n v="4563"/>
    <n v="73008"/>
  </r>
  <r>
    <d v="2025-03-05T00:00:00"/>
    <x v="3"/>
    <x v="1"/>
    <x v="1"/>
    <n v="113"/>
    <n v="1057"/>
    <n v="119441"/>
  </r>
  <r>
    <d v="2025-03-06T00:00:00"/>
    <x v="1"/>
    <x v="3"/>
    <x v="1"/>
    <n v="166"/>
    <n v="4019"/>
    <n v="667154"/>
  </r>
  <r>
    <d v="2025-03-07T00:00:00"/>
    <x v="5"/>
    <x v="2"/>
    <x v="0"/>
    <n v="145"/>
    <n v="4354"/>
    <n v="631330"/>
  </r>
  <r>
    <d v="2025-03-08T00:00:00"/>
    <x v="1"/>
    <x v="0"/>
    <x v="0"/>
    <n v="58"/>
    <n v="4794"/>
    <n v="278052"/>
  </r>
  <r>
    <d v="2025-03-09T00:00:00"/>
    <x v="3"/>
    <x v="0"/>
    <x v="1"/>
    <n v="149"/>
    <n v="2936"/>
    <n v="437464"/>
  </r>
  <r>
    <d v="2025-03-10T00:00:00"/>
    <x v="7"/>
    <x v="0"/>
    <x v="1"/>
    <n v="141"/>
    <n v="2212"/>
    <n v="311892"/>
  </r>
  <r>
    <d v="2025-03-11T00:00:00"/>
    <x v="3"/>
    <x v="3"/>
    <x v="1"/>
    <n v="162"/>
    <n v="3077"/>
    <n v="498474"/>
  </r>
  <r>
    <d v="2025-03-12T00:00:00"/>
    <x v="1"/>
    <x v="3"/>
    <x v="0"/>
    <n v="135"/>
    <n v="2402"/>
    <n v="324270"/>
  </r>
  <r>
    <d v="2025-03-13T00:00:00"/>
    <x v="7"/>
    <x v="2"/>
    <x v="2"/>
    <n v="166"/>
    <n v="4587"/>
    <n v="761442"/>
  </r>
  <r>
    <d v="2025-03-14T00:00:00"/>
    <x v="5"/>
    <x v="0"/>
    <x v="2"/>
    <n v="33"/>
    <n v="1170"/>
    <n v="38610"/>
  </r>
  <r>
    <d v="2025-03-15T00:00:00"/>
    <x v="3"/>
    <x v="0"/>
    <x v="0"/>
    <n v="11"/>
    <n v="2265"/>
    <n v="24915"/>
  </r>
  <r>
    <d v="2025-03-16T00:00:00"/>
    <x v="2"/>
    <x v="2"/>
    <x v="0"/>
    <n v="83"/>
    <n v="4648"/>
    <n v="385784"/>
  </r>
  <r>
    <d v="2025-03-17T00:00:00"/>
    <x v="1"/>
    <x v="3"/>
    <x v="2"/>
    <n v="51"/>
    <n v="1895"/>
    <n v="96645"/>
  </r>
  <r>
    <d v="2025-03-18T00:00:00"/>
    <x v="3"/>
    <x v="0"/>
    <x v="3"/>
    <n v="98"/>
    <n v="1425"/>
    <n v="139650"/>
  </r>
  <r>
    <d v="2025-03-19T00:00:00"/>
    <x v="4"/>
    <x v="3"/>
    <x v="0"/>
    <n v="126"/>
    <n v="3962"/>
    <n v="499212"/>
  </r>
  <r>
    <d v="2025-03-20T00:00:00"/>
    <x v="1"/>
    <x v="0"/>
    <x v="3"/>
    <n v="95"/>
    <n v="4623"/>
    <n v="439185"/>
  </r>
  <r>
    <d v="2025-03-21T00:00:00"/>
    <x v="1"/>
    <x v="3"/>
    <x v="1"/>
    <n v="28"/>
    <n v="2472"/>
    <n v="69216"/>
  </r>
  <r>
    <d v="2025-03-22T00:00:00"/>
    <x v="6"/>
    <x v="1"/>
    <x v="3"/>
    <n v="127"/>
    <n v="3401"/>
    <n v="431927"/>
  </r>
  <r>
    <d v="2025-03-23T00:00:00"/>
    <x v="1"/>
    <x v="3"/>
    <x v="1"/>
    <n v="24"/>
    <n v="3972"/>
    <n v="95328"/>
  </r>
  <r>
    <d v="2025-03-24T00:00:00"/>
    <x v="1"/>
    <x v="2"/>
    <x v="3"/>
    <n v="177"/>
    <n v="3524"/>
    <n v="623748"/>
  </r>
  <r>
    <d v="2025-03-25T00:00:00"/>
    <x v="4"/>
    <x v="0"/>
    <x v="2"/>
    <n v="19"/>
    <n v="2114"/>
    <n v="40166"/>
  </r>
  <r>
    <d v="2025-03-26T00:00:00"/>
    <x v="5"/>
    <x v="0"/>
    <x v="0"/>
    <n v="34"/>
    <n v="1212"/>
    <n v="41208"/>
  </r>
  <r>
    <d v="2025-03-27T00:00:00"/>
    <x v="0"/>
    <x v="1"/>
    <x v="2"/>
    <n v="27"/>
    <n v="4668"/>
    <n v="126036"/>
  </r>
  <r>
    <d v="2025-03-28T00:00:00"/>
    <x v="3"/>
    <x v="0"/>
    <x v="3"/>
    <n v="157"/>
    <n v="4845"/>
    <n v="760665"/>
  </r>
  <r>
    <d v="2025-03-29T00:00:00"/>
    <x v="5"/>
    <x v="0"/>
    <x v="2"/>
    <n v="154"/>
    <n v="4953"/>
    <n v="762762"/>
  </r>
  <r>
    <d v="2025-03-30T00:00:00"/>
    <x v="6"/>
    <x v="1"/>
    <x v="0"/>
    <n v="161"/>
    <n v="4447"/>
    <n v="715967"/>
  </r>
  <r>
    <d v="2025-03-31T00:00:00"/>
    <x v="4"/>
    <x v="3"/>
    <x v="0"/>
    <n v="57"/>
    <n v="2092"/>
    <n v="119244"/>
  </r>
  <r>
    <d v="2025-04-01T00:00:00"/>
    <x v="5"/>
    <x v="0"/>
    <x v="3"/>
    <n v="69"/>
    <n v="2749"/>
    <n v="189681"/>
  </r>
  <r>
    <d v="2025-04-02T00:00:00"/>
    <x v="7"/>
    <x v="3"/>
    <x v="2"/>
    <n v="64"/>
    <n v="1168"/>
    <n v="74752"/>
  </r>
  <r>
    <d v="2025-04-03T00:00:00"/>
    <x v="3"/>
    <x v="0"/>
    <x v="1"/>
    <n v="120"/>
    <n v="1514"/>
    <n v="181680"/>
  </r>
  <r>
    <d v="2025-04-04T00:00:00"/>
    <x v="7"/>
    <x v="3"/>
    <x v="1"/>
    <n v="134"/>
    <n v="1100"/>
    <n v="147400"/>
  </r>
  <r>
    <d v="2025-04-05T00:00:00"/>
    <x v="2"/>
    <x v="2"/>
    <x v="3"/>
    <n v="180"/>
    <n v="4965"/>
    <n v="893700"/>
  </r>
  <r>
    <d v="2025-04-06T00:00:00"/>
    <x v="4"/>
    <x v="1"/>
    <x v="3"/>
    <n v="92"/>
    <n v="927"/>
    <n v="85284"/>
  </r>
  <r>
    <d v="2025-04-07T00:00:00"/>
    <x v="1"/>
    <x v="0"/>
    <x v="0"/>
    <n v="64"/>
    <n v="2583"/>
    <n v="165312"/>
  </r>
  <r>
    <d v="2025-04-08T00:00:00"/>
    <x v="7"/>
    <x v="0"/>
    <x v="1"/>
    <n v="62"/>
    <n v="1048"/>
    <n v="64976"/>
  </r>
  <r>
    <d v="2025-04-09T00:00:00"/>
    <x v="3"/>
    <x v="2"/>
    <x v="0"/>
    <n v="121"/>
    <n v="2360"/>
    <n v="285560"/>
  </r>
  <r>
    <d v="2025-04-10T00:00:00"/>
    <x v="2"/>
    <x v="2"/>
    <x v="1"/>
    <n v="81"/>
    <n v="1680"/>
    <n v="136080"/>
  </r>
  <r>
    <d v="2025-04-11T00:00:00"/>
    <x v="6"/>
    <x v="1"/>
    <x v="3"/>
    <n v="21"/>
    <n v="2964"/>
    <n v="62244"/>
  </r>
  <r>
    <d v="2025-04-12T00:00:00"/>
    <x v="0"/>
    <x v="3"/>
    <x v="3"/>
    <n v="73"/>
    <n v="830"/>
    <n v="60590"/>
  </r>
  <r>
    <d v="2025-04-13T00:00:00"/>
    <x v="4"/>
    <x v="1"/>
    <x v="3"/>
    <n v="160"/>
    <n v="585"/>
    <n v="93600"/>
  </r>
  <r>
    <d v="2025-04-14T00:00:00"/>
    <x v="0"/>
    <x v="2"/>
    <x v="3"/>
    <n v="160"/>
    <n v="1991"/>
    <n v="318560"/>
  </r>
  <r>
    <d v="2025-04-15T00:00:00"/>
    <x v="0"/>
    <x v="0"/>
    <x v="0"/>
    <n v="187"/>
    <n v="511"/>
    <n v="95557"/>
  </r>
  <r>
    <d v="2025-04-16T00:00:00"/>
    <x v="7"/>
    <x v="3"/>
    <x v="0"/>
    <n v="192"/>
    <n v="676"/>
    <n v="129792"/>
  </r>
  <r>
    <d v="2025-04-17T00:00:00"/>
    <x v="2"/>
    <x v="1"/>
    <x v="2"/>
    <n v="31"/>
    <n v="999"/>
    <n v="30969"/>
  </r>
  <r>
    <d v="2025-04-18T00:00:00"/>
    <x v="5"/>
    <x v="3"/>
    <x v="0"/>
    <n v="96"/>
    <n v="4903"/>
    <n v="470688"/>
  </r>
  <r>
    <d v="2025-04-19T00:00:00"/>
    <x v="3"/>
    <x v="2"/>
    <x v="3"/>
    <n v="128"/>
    <n v="3865"/>
    <n v="494720"/>
  </r>
  <r>
    <d v="2025-04-20T00:00:00"/>
    <x v="7"/>
    <x v="1"/>
    <x v="1"/>
    <n v="95"/>
    <n v="1088"/>
    <n v="103360"/>
  </r>
  <r>
    <d v="2025-04-21T00:00:00"/>
    <x v="0"/>
    <x v="3"/>
    <x v="3"/>
    <n v="74"/>
    <n v="680"/>
    <n v="50320"/>
  </r>
  <r>
    <d v="2025-04-22T00:00:00"/>
    <x v="0"/>
    <x v="2"/>
    <x v="3"/>
    <n v="118"/>
    <n v="1959"/>
    <n v="231162"/>
  </r>
  <r>
    <d v="2025-04-23T00:00:00"/>
    <x v="0"/>
    <x v="1"/>
    <x v="2"/>
    <n v="11"/>
    <n v="2682"/>
    <n v="29502"/>
  </r>
  <r>
    <d v="2025-04-24T00:00:00"/>
    <x v="0"/>
    <x v="1"/>
    <x v="2"/>
    <n v="107"/>
    <n v="2130"/>
    <n v="227910"/>
  </r>
  <r>
    <d v="2025-04-25T00:00:00"/>
    <x v="0"/>
    <x v="3"/>
    <x v="0"/>
    <n v="119"/>
    <n v="2806"/>
    <n v="333914"/>
  </r>
  <r>
    <d v="2025-04-26T00:00:00"/>
    <x v="6"/>
    <x v="2"/>
    <x v="0"/>
    <n v="156"/>
    <n v="1107"/>
    <n v="172692"/>
  </r>
  <r>
    <d v="2025-04-27T00:00:00"/>
    <x v="3"/>
    <x v="0"/>
    <x v="1"/>
    <n v="77"/>
    <n v="1741"/>
    <n v="134057"/>
  </r>
  <r>
    <d v="2025-04-28T00:00:00"/>
    <x v="6"/>
    <x v="2"/>
    <x v="2"/>
    <n v="8"/>
    <n v="1114"/>
    <n v="8912"/>
  </r>
  <r>
    <d v="2025-04-29T00:00:00"/>
    <x v="2"/>
    <x v="3"/>
    <x v="3"/>
    <n v="69"/>
    <n v="3319"/>
    <n v="229011"/>
  </r>
  <r>
    <d v="2025-04-30T00:00:00"/>
    <x v="3"/>
    <x v="1"/>
    <x v="0"/>
    <n v="182"/>
    <n v="1160"/>
    <n v="211120"/>
  </r>
  <r>
    <d v="2025-05-01T00:00:00"/>
    <x v="0"/>
    <x v="1"/>
    <x v="2"/>
    <n v="131"/>
    <n v="4263"/>
    <n v="5584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8A963-ED0A-4A6E-B084-12FE0FBE40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B3:C8" firstHeaderRow="1" firstDataRow="1" firstDataCol="1"/>
  <pivotFields count="7">
    <pivotField numFmtId="164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ECDF0-3605-4D08-A475-C79A6E6BEB3A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person">
  <location ref="B54:C58" firstHeaderRow="1" firstDataRow="1" firstDataCol="1"/>
  <pivotFields count="7">
    <pivotField numFmtId="164" showAll="0"/>
    <pivotField axis="axisRow" showAll="0" measureFilter="1">
      <items count="9">
        <item x="0"/>
        <item x="2"/>
        <item x="4"/>
        <item x="3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4"/>
    </i>
    <i>
      <x v="6"/>
    </i>
    <i t="grand">
      <x/>
    </i>
  </rowItems>
  <colItems count="1">
    <i/>
  </colItems>
  <dataFields count="1">
    <dataField name="Top 3" fld="6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480E7-29F8-4475-BA0B-4EC490F48AB1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B60:C65" firstHeaderRow="1" firstDataRow="1" firstDataCol="1"/>
  <pivotFields count="7">
    <pivotField numFmtId="164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Contribution" fld="6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42FD6-61E3-4847-9202-103111109CD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person">
  <location ref="B17:C26" firstHeaderRow="1" firstDataRow="1" firstDataCol="1"/>
  <pivotFields count="7">
    <pivotField numFmtId="164" showAll="0"/>
    <pivotField axis="axisRow" showAll="0">
      <items count="9">
        <item x="0"/>
        <item x="2"/>
        <item x="4"/>
        <item x="3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8F214-2278-4EF3-8532-3C682106FB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10:C15" firstHeaderRow="1" firstDataRow="1" firstDataCol="1"/>
  <pivotFields count="7">
    <pivotField numFmtId="164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Units Sold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workbookViewId="0">
      <selection activeCell="I16" sqref="I16"/>
    </sheetView>
  </sheetViews>
  <sheetFormatPr defaultRowHeight="14.4" x14ac:dyDescent="0.3"/>
  <cols>
    <col min="1" max="7" width="17.33203125" customWidth="1"/>
    <col min="9" max="10" width="11.664062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45659</v>
      </c>
      <c r="B2" t="s">
        <v>7</v>
      </c>
      <c r="C2" t="s">
        <v>8</v>
      </c>
      <c r="D2" t="s">
        <v>9</v>
      </c>
      <c r="E2">
        <v>118</v>
      </c>
      <c r="F2">
        <v>3812</v>
      </c>
      <c r="G2">
        <f t="shared" ref="G2:G33" si="0">E2*F2</f>
        <v>449816</v>
      </c>
    </row>
    <row r="3" spans="1:7" x14ac:dyDescent="0.3">
      <c r="A3" s="1">
        <v>45660</v>
      </c>
      <c r="B3" t="s">
        <v>7</v>
      </c>
      <c r="C3" t="s">
        <v>10</v>
      </c>
      <c r="D3" t="s">
        <v>11</v>
      </c>
      <c r="E3">
        <v>190</v>
      </c>
      <c r="F3">
        <v>3292</v>
      </c>
      <c r="G3">
        <f t="shared" si="0"/>
        <v>625480</v>
      </c>
    </row>
    <row r="4" spans="1:7" x14ac:dyDescent="0.3">
      <c r="A4" s="1">
        <v>45661</v>
      </c>
      <c r="B4" t="s">
        <v>12</v>
      </c>
      <c r="C4" t="s">
        <v>13</v>
      </c>
      <c r="D4" t="s">
        <v>11</v>
      </c>
      <c r="E4">
        <v>184</v>
      </c>
      <c r="F4">
        <v>1079</v>
      </c>
      <c r="G4">
        <f t="shared" si="0"/>
        <v>198536</v>
      </c>
    </row>
    <row r="5" spans="1:7" x14ac:dyDescent="0.3">
      <c r="A5" s="1">
        <v>45662</v>
      </c>
      <c r="B5" t="s">
        <v>14</v>
      </c>
      <c r="C5" t="s">
        <v>15</v>
      </c>
      <c r="D5" t="s">
        <v>16</v>
      </c>
      <c r="E5">
        <v>16</v>
      </c>
      <c r="F5">
        <v>910</v>
      </c>
      <c r="G5">
        <f t="shared" si="0"/>
        <v>14560</v>
      </c>
    </row>
    <row r="6" spans="1:7" x14ac:dyDescent="0.3">
      <c r="A6" s="1">
        <v>45663</v>
      </c>
      <c r="B6" t="s">
        <v>17</v>
      </c>
      <c r="C6" t="s">
        <v>13</v>
      </c>
      <c r="D6" t="s">
        <v>11</v>
      </c>
      <c r="E6">
        <v>56</v>
      </c>
      <c r="F6">
        <v>3087</v>
      </c>
      <c r="G6">
        <f t="shared" si="0"/>
        <v>172872</v>
      </c>
    </row>
    <row r="7" spans="1:7" x14ac:dyDescent="0.3">
      <c r="A7" s="1">
        <v>45664</v>
      </c>
      <c r="B7" t="s">
        <v>18</v>
      </c>
      <c r="C7" t="s">
        <v>13</v>
      </c>
      <c r="D7" t="s">
        <v>16</v>
      </c>
      <c r="E7">
        <v>194</v>
      </c>
      <c r="F7">
        <v>4204</v>
      </c>
      <c r="G7">
        <f t="shared" si="0"/>
        <v>815576</v>
      </c>
    </row>
    <row r="8" spans="1:7" x14ac:dyDescent="0.3">
      <c r="A8" s="1">
        <v>45665</v>
      </c>
      <c r="B8" t="s">
        <v>12</v>
      </c>
      <c r="C8" t="s">
        <v>13</v>
      </c>
      <c r="D8" t="s">
        <v>9</v>
      </c>
      <c r="E8">
        <v>158</v>
      </c>
      <c r="F8">
        <v>4880</v>
      </c>
      <c r="G8">
        <f t="shared" si="0"/>
        <v>771040</v>
      </c>
    </row>
    <row r="9" spans="1:7" x14ac:dyDescent="0.3">
      <c r="A9" s="1">
        <v>45666</v>
      </c>
      <c r="B9" t="s">
        <v>19</v>
      </c>
      <c r="C9" t="s">
        <v>8</v>
      </c>
      <c r="D9" t="s">
        <v>20</v>
      </c>
      <c r="E9">
        <v>50</v>
      </c>
      <c r="F9">
        <v>2649</v>
      </c>
      <c r="G9">
        <f t="shared" si="0"/>
        <v>132450</v>
      </c>
    </row>
    <row r="10" spans="1:7" x14ac:dyDescent="0.3">
      <c r="A10" s="1">
        <v>45667</v>
      </c>
      <c r="B10" t="s">
        <v>21</v>
      </c>
      <c r="C10" t="s">
        <v>13</v>
      </c>
      <c r="D10" t="s">
        <v>9</v>
      </c>
      <c r="E10">
        <v>158</v>
      </c>
      <c r="F10">
        <v>2075</v>
      </c>
      <c r="G10">
        <f t="shared" si="0"/>
        <v>327850</v>
      </c>
    </row>
    <row r="11" spans="1:7" x14ac:dyDescent="0.3">
      <c r="A11" s="1">
        <v>45668</v>
      </c>
      <c r="B11" t="s">
        <v>7</v>
      </c>
      <c r="C11" t="s">
        <v>8</v>
      </c>
      <c r="D11" t="s">
        <v>9</v>
      </c>
      <c r="E11">
        <v>154</v>
      </c>
      <c r="F11">
        <v>3319</v>
      </c>
      <c r="G11">
        <f t="shared" si="0"/>
        <v>511126</v>
      </c>
    </row>
    <row r="12" spans="1:7" x14ac:dyDescent="0.3">
      <c r="A12" s="1">
        <v>45669</v>
      </c>
      <c r="B12" t="s">
        <v>22</v>
      </c>
      <c r="C12" t="s">
        <v>10</v>
      </c>
      <c r="D12" t="s">
        <v>16</v>
      </c>
      <c r="E12">
        <v>185</v>
      </c>
      <c r="F12">
        <v>1773</v>
      </c>
      <c r="G12">
        <f t="shared" si="0"/>
        <v>328005</v>
      </c>
    </row>
    <row r="13" spans="1:7" x14ac:dyDescent="0.3">
      <c r="A13" s="1">
        <v>45670</v>
      </c>
      <c r="B13" t="s">
        <v>12</v>
      </c>
      <c r="C13" t="s">
        <v>13</v>
      </c>
      <c r="D13" t="s">
        <v>11</v>
      </c>
      <c r="E13">
        <v>171</v>
      </c>
      <c r="F13">
        <v>1384</v>
      </c>
      <c r="G13">
        <f t="shared" si="0"/>
        <v>236664</v>
      </c>
    </row>
    <row r="14" spans="1:7" x14ac:dyDescent="0.3">
      <c r="A14" s="1">
        <v>45671</v>
      </c>
      <c r="B14" t="s">
        <v>12</v>
      </c>
      <c r="C14" t="s">
        <v>10</v>
      </c>
      <c r="D14" t="s">
        <v>20</v>
      </c>
      <c r="E14">
        <v>31</v>
      </c>
      <c r="F14">
        <v>2665</v>
      </c>
      <c r="G14">
        <f t="shared" si="0"/>
        <v>82615</v>
      </c>
    </row>
    <row r="15" spans="1:7" x14ac:dyDescent="0.3">
      <c r="A15" s="1">
        <v>45672</v>
      </c>
      <c r="B15" t="s">
        <v>21</v>
      </c>
      <c r="C15" t="s">
        <v>10</v>
      </c>
      <c r="D15" t="s">
        <v>11</v>
      </c>
      <c r="E15">
        <v>91</v>
      </c>
      <c r="F15">
        <v>4924</v>
      </c>
      <c r="G15">
        <f t="shared" si="0"/>
        <v>448084</v>
      </c>
    </row>
    <row r="16" spans="1:7" x14ac:dyDescent="0.3">
      <c r="A16" s="1">
        <v>45673</v>
      </c>
      <c r="B16" t="s">
        <v>18</v>
      </c>
      <c r="C16" t="s">
        <v>15</v>
      </c>
      <c r="D16" t="s">
        <v>9</v>
      </c>
      <c r="E16">
        <v>35</v>
      </c>
      <c r="F16">
        <v>997</v>
      </c>
      <c r="G16">
        <f t="shared" si="0"/>
        <v>34895</v>
      </c>
    </row>
    <row r="17" spans="1:7" x14ac:dyDescent="0.3">
      <c r="A17" s="1">
        <v>45674</v>
      </c>
      <c r="B17" t="s">
        <v>22</v>
      </c>
      <c r="C17" t="s">
        <v>8</v>
      </c>
      <c r="D17" t="s">
        <v>20</v>
      </c>
      <c r="E17">
        <v>125</v>
      </c>
      <c r="F17">
        <v>3157</v>
      </c>
      <c r="G17">
        <f t="shared" si="0"/>
        <v>394625</v>
      </c>
    </row>
    <row r="18" spans="1:7" x14ac:dyDescent="0.3">
      <c r="A18" s="1">
        <v>45675</v>
      </c>
      <c r="B18" t="s">
        <v>14</v>
      </c>
      <c r="C18" t="s">
        <v>13</v>
      </c>
      <c r="D18" t="s">
        <v>16</v>
      </c>
      <c r="E18">
        <v>172</v>
      </c>
      <c r="F18">
        <v>4409</v>
      </c>
      <c r="G18">
        <f t="shared" si="0"/>
        <v>758348</v>
      </c>
    </row>
    <row r="19" spans="1:7" x14ac:dyDescent="0.3">
      <c r="A19" s="1">
        <v>45676</v>
      </c>
      <c r="B19" t="s">
        <v>14</v>
      </c>
      <c r="C19" t="s">
        <v>8</v>
      </c>
      <c r="D19" t="s">
        <v>9</v>
      </c>
      <c r="E19">
        <v>42</v>
      </c>
      <c r="F19">
        <v>4141</v>
      </c>
      <c r="G19">
        <f t="shared" si="0"/>
        <v>173922</v>
      </c>
    </row>
    <row r="20" spans="1:7" x14ac:dyDescent="0.3">
      <c r="A20" s="1">
        <v>45677</v>
      </c>
      <c r="B20" t="s">
        <v>12</v>
      </c>
      <c r="C20" t="s">
        <v>13</v>
      </c>
      <c r="D20" t="s">
        <v>9</v>
      </c>
      <c r="E20">
        <v>59</v>
      </c>
      <c r="F20">
        <v>1747</v>
      </c>
      <c r="G20">
        <f t="shared" si="0"/>
        <v>103073</v>
      </c>
    </row>
    <row r="21" spans="1:7" x14ac:dyDescent="0.3">
      <c r="A21" s="1">
        <v>45678</v>
      </c>
      <c r="B21" t="s">
        <v>22</v>
      </c>
      <c r="C21" t="s">
        <v>10</v>
      </c>
      <c r="D21" t="s">
        <v>9</v>
      </c>
      <c r="E21">
        <v>166</v>
      </c>
      <c r="F21">
        <v>2236</v>
      </c>
      <c r="G21">
        <f t="shared" si="0"/>
        <v>371176</v>
      </c>
    </row>
    <row r="22" spans="1:7" x14ac:dyDescent="0.3">
      <c r="A22" s="1">
        <v>45679</v>
      </c>
      <c r="B22" t="s">
        <v>17</v>
      </c>
      <c r="C22" t="s">
        <v>10</v>
      </c>
      <c r="D22" t="s">
        <v>9</v>
      </c>
      <c r="E22">
        <v>71</v>
      </c>
      <c r="F22">
        <v>3390</v>
      </c>
      <c r="G22">
        <f t="shared" si="0"/>
        <v>240690</v>
      </c>
    </row>
    <row r="23" spans="1:7" x14ac:dyDescent="0.3">
      <c r="A23" s="1">
        <v>45680</v>
      </c>
      <c r="B23" t="s">
        <v>22</v>
      </c>
      <c r="C23" t="s">
        <v>10</v>
      </c>
      <c r="D23" t="s">
        <v>20</v>
      </c>
      <c r="E23">
        <v>134</v>
      </c>
      <c r="F23">
        <v>3581</v>
      </c>
      <c r="G23">
        <f t="shared" si="0"/>
        <v>479854</v>
      </c>
    </row>
    <row r="24" spans="1:7" x14ac:dyDescent="0.3">
      <c r="A24" s="1">
        <v>45681</v>
      </c>
      <c r="B24" t="s">
        <v>14</v>
      </c>
      <c r="C24" t="s">
        <v>8</v>
      </c>
      <c r="D24" t="s">
        <v>11</v>
      </c>
      <c r="E24">
        <v>44</v>
      </c>
      <c r="F24">
        <v>2791</v>
      </c>
      <c r="G24">
        <f t="shared" si="0"/>
        <v>122804</v>
      </c>
    </row>
    <row r="25" spans="1:7" x14ac:dyDescent="0.3">
      <c r="A25" s="1">
        <v>45682</v>
      </c>
      <c r="B25" t="s">
        <v>21</v>
      </c>
      <c r="C25" t="s">
        <v>8</v>
      </c>
      <c r="D25" t="s">
        <v>16</v>
      </c>
      <c r="E25">
        <v>159</v>
      </c>
      <c r="F25">
        <v>2095</v>
      </c>
      <c r="G25">
        <f t="shared" si="0"/>
        <v>333105</v>
      </c>
    </row>
    <row r="26" spans="1:7" x14ac:dyDescent="0.3">
      <c r="A26" s="1">
        <v>45683</v>
      </c>
      <c r="B26" t="s">
        <v>7</v>
      </c>
      <c r="C26" t="s">
        <v>8</v>
      </c>
      <c r="D26" t="s">
        <v>9</v>
      </c>
      <c r="E26">
        <v>78</v>
      </c>
      <c r="F26">
        <v>2265</v>
      </c>
      <c r="G26">
        <f t="shared" si="0"/>
        <v>176670</v>
      </c>
    </row>
    <row r="27" spans="1:7" x14ac:dyDescent="0.3">
      <c r="A27" s="1">
        <v>45684</v>
      </c>
      <c r="B27" t="s">
        <v>7</v>
      </c>
      <c r="C27" t="s">
        <v>13</v>
      </c>
      <c r="D27" t="s">
        <v>16</v>
      </c>
      <c r="E27">
        <v>118</v>
      </c>
      <c r="F27">
        <v>2167</v>
      </c>
      <c r="G27">
        <f t="shared" si="0"/>
        <v>255706</v>
      </c>
    </row>
    <row r="28" spans="1:7" x14ac:dyDescent="0.3">
      <c r="A28" s="1">
        <v>45685</v>
      </c>
      <c r="B28" t="s">
        <v>22</v>
      </c>
      <c r="C28" t="s">
        <v>13</v>
      </c>
      <c r="D28" t="s">
        <v>11</v>
      </c>
      <c r="E28">
        <v>178</v>
      </c>
      <c r="F28">
        <v>3548</v>
      </c>
      <c r="G28">
        <f t="shared" si="0"/>
        <v>631544</v>
      </c>
    </row>
    <row r="29" spans="1:7" x14ac:dyDescent="0.3">
      <c r="A29" s="1">
        <v>45686</v>
      </c>
      <c r="B29" t="s">
        <v>18</v>
      </c>
      <c r="C29" t="s">
        <v>13</v>
      </c>
      <c r="D29" t="s">
        <v>16</v>
      </c>
      <c r="E29">
        <v>75</v>
      </c>
      <c r="F29">
        <v>2616</v>
      </c>
      <c r="G29">
        <f t="shared" si="0"/>
        <v>196200</v>
      </c>
    </row>
    <row r="30" spans="1:7" x14ac:dyDescent="0.3">
      <c r="A30" s="1">
        <v>45687</v>
      </c>
      <c r="B30" t="s">
        <v>18</v>
      </c>
      <c r="C30" t="s">
        <v>8</v>
      </c>
      <c r="D30" t="s">
        <v>16</v>
      </c>
      <c r="E30">
        <v>135</v>
      </c>
      <c r="F30">
        <v>4731</v>
      </c>
      <c r="G30">
        <f t="shared" si="0"/>
        <v>638685</v>
      </c>
    </row>
    <row r="31" spans="1:7" x14ac:dyDescent="0.3">
      <c r="A31" s="1">
        <v>45688</v>
      </c>
      <c r="B31" t="s">
        <v>17</v>
      </c>
      <c r="C31" t="s">
        <v>10</v>
      </c>
      <c r="D31" t="s">
        <v>9</v>
      </c>
      <c r="E31">
        <v>20</v>
      </c>
      <c r="F31">
        <v>4780</v>
      </c>
      <c r="G31">
        <f t="shared" si="0"/>
        <v>95600</v>
      </c>
    </row>
    <row r="32" spans="1:7" x14ac:dyDescent="0.3">
      <c r="A32" s="1">
        <v>45689</v>
      </c>
      <c r="B32" t="s">
        <v>21</v>
      </c>
      <c r="C32" t="s">
        <v>15</v>
      </c>
      <c r="D32" t="s">
        <v>9</v>
      </c>
      <c r="E32">
        <v>97</v>
      </c>
      <c r="F32">
        <v>3228</v>
      </c>
      <c r="G32">
        <f t="shared" si="0"/>
        <v>313116</v>
      </c>
    </row>
    <row r="33" spans="1:7" x14ac:dyDescent="0.3">
      <c r="A33" s="1">
        <v>45690</v>
      </c>
      <c r="B33" t="s">
        <v>18</v>
      </c>
      <c r="C33" t="s">
        <v>10</v>
      </c>
      <c r="D33" t="s">
        <v>11</v>
      </c>
      <c r="E33">
        <v>174</v>
      </c>
      <c r="F33">
        <v>1704</v>
      </c>
      <c r="G33">
        <f t="shared" si="0"/>
        <v>296496</v>
      </c>
    </row>
    <row r="34" spans="1:7" x14ac:dyDescent="0.3">
      <c r="A34" s="1">
        <v>45691</v>
      </c>
      <c r="B34" t="s">
        <v>21</v>
      </c>
      <c r="C34" t="s">
        <v>13</v>
      </c>
      <c r="D34" t="s">
        <v>20</v>
      </c>
      <c r="E34">
        <v>53</v>
      </c>
      <c r="F34">
        <v>1180</v>
      </c>
      <c r="G34">
        <f t="shared" ref="G34:G65" si="1">E34*F34</f>
        <v>62540</v>
      </c>
    </row>
    <row r="35" spans="1:7" x14ac:dyDescent="0.3">
      <c r="A35" s="1">
        <v>45692</v>
      </c>
      <c r="B35" t="s">
        <v>7</v>
      </c>
      <c r="C35" t="s">
        <v>13</v>
      </c>
      <c r="D35" t="s">
        <v>11</v>
      </c>
      <c r="E35">
        <v>28</v>
      </c>
      <c r="F35">
        <v>4172</v>
      </c>
      <c r="G35">
        <f t="shared" si="1"/>
        <v>116816</v>
      </c>
    </row>
    <row r="36" spans="1:7" x14ac:dyDescent="0.3">
      <c r="A36" s="1">
        <v>45693</v>
      </c>
      <c r="B36" t="s">
        <v>18</v>
      </c>
      <c r="C36" t="s">
        <v>15</v>
      </c>
      <c r="D36" t="s">
        <v>11</v>
      </c>
      <c r="E36">
        <v>17</v>
      </c>
      <c r="F36">
        <v>3372</v>
      </c>
      <c r="G36">
        <f t="shared" si="1"/>
        <v>57324</v>
      </c>
    </row>
    <row r="37" spans="1:7" x14ac:dyDescent="0.3">
      <c r="A37" s="1">
        <v>45694</v>
      </c>
      <c r="B37" t="s">
        <v>17</v>
      </c>
      <c r="C37" t="s">
        <v>13</v>
      </c>
      <c r="D37" t="s">
        <v>20</v>
      </c>
      <c r="E37">
        <v>46</v>
      </c>
      <c r="F37">
        <v>1545</v>
      </c>
      <c r="G37">
        <f t="shared" si="1"/>
        <v>71070</v>
      </c>
    </row>
    <row r="38" spans="1:7" x14ac:dyDescent="0.3">
      <c r="A38" s="1">
        <v>45695</v>
      </c>
      <c r="B38" t="s">
        <v>22</v>
      </c>
      <c r="C38" t="s">
        <v>8</v>
      </c>
      <c r="D38" t="s">
        <v>11</v>
      </c>
      <c r="E38">
        <v>129</v>
      </c>
      <c r="F38">
        <v>2806</v>
      </c>
      <c r="G38">
        <f t="shared" si="1"/>
        <v>361974</v>
      </c>
    </row>
    <row r="39" spans="1:7" x14ac:dyDescent="0.3">
      <c r="A39" s="1">
        <v>45696</v>
      </c>
      <c r="B39" t="s">
        <v>19</v>
      </c>
      <c r="C39" t="s">
        <v>8</v>
      </c>
      <c r="D39" t="s">
        <v>20</v>
      </c>
      <c r="E39">
        <v>90</v>
      </c>
      <c r="F39">
        <v>3937</v>
      </c>
      <c r="G39">
        <f t="shared" si="1"/>
        <v>354330</v>
      </c>
    </row>
    <row r="40" spans="1:7" x14ac:dyDescent="0.3">
      <c r="A40" s="1">
        <v>45697</v>
      </c>
      <c r="B40" t="s">
        <v>22</v>
      </c>
      <c r="C40" t="s">
        <v>8</v>
      </c>
      <c r="D40" t="s">
        <v>20</v>
      </c>
      <c r="E40">
        <v>122</v>
      </c>
      <c r="F40">
        <v>867</v>
      </c>
      <c r="G40">
        <f t="shared" si="1"/>
        <v>105774</v>
      </c>
    </row>
    <row r="41" spans="1:7" x14ac:dyDescent="0.3">
      <c r="A41" s="1">
        <v>45698</v>
      </c>
      <c r="B41" t="s">
        <v>18</v>
      </c>
      <c r="C41" t="s">
        <v>10</v>
      </c>
      <c r="D41" t="s">
        <v>11</v>
      </c>
      <c r="E41">
        <v>86</v>
      </c>
      <c r="F41">
        <v>4423</v>
      </c>
      <c r="G41">
        <f t="shared" si="1"/>
        <v>380378</v>
      </c>
    </row>
    <row r="42" spans="1:7" x14ac:dyDescent="0.3">
      <c r="A42" s="1">
        <v>45699</v>
      </c>
      <c r="B42" t="s">
        <v>18</v>
      </c>
      <c r="C42" t="s">
        <v>8</v>
      </c>
      <c r="D42" t="s">
        <v>11</v>
      </c>
      <c r="E42">
        <v>197</v>
      </c>
      <c r="F42">
        <v>3379</v>
      </c>
      <c r="G42">
        <f t="shared" si="1"/>
        <v>665663</v>
      </c>
    </row>
    <row r="43" spans="1:7" x14ac:dyDescent="0.3">
      <c r="A43" s="1">
        <v>45700</v>
      </c>
      <c r="B43" t="s">
        <v>22</v>
      </c>
      <c r="C43" t="s">
        <v>15</v>
      </c>
      <c r="D43" t="s">
        <v>11</v>
      </c>
      <c r="E43">
        <v>56</v>
      </c>
      <c r="F43">
        <v>793</v>
      </c>
      <c r="G43">
        <f t="shared" si="1"/>
        <v>44408</v>
      </c>
    </row>
    <row r="44" spans="1:7" x14ac:dyDescent="0.3">
      <c r="A44" s="1">
        <v>45701</v>
      </c>
      <c r="B44" t="s">
        <v>18</v>
      </c>
      <c r="C44" t="s">
        <v>8</v>
      </c>
      <c r="D44" t="s">
        <v>11</v>
      </c>
      <c r="E44">
        <v>27</v>
      </c>
      <c r="F44">
        <v>4690</v>
      </c>
      <c r="G44">
        <f t="shared" si="1"/>
        <v>126630</v>
      </c>
    </row>
    <row r="45" spans="1:7" x14ac:dyDescent="0.3">
      <c r="A45" s="1">
        <v>45702</v>
      </c>
      <c r="B45" t="s">
        <v>17</v>
      </c>
      <c r="C45" t="s">
        <v>15</v>
      </c>
      <c r="D45" t="s">
        <v>11</v>
      </c>
      <c r="E45">
        <v>166</v>
      </c>
      <c r="F45">
        <v>4093</v>
      </c>
      <c r="G45">
        <f t="shared" si="1"/>
        <v>679438</v>
      </c>
    </row>
    <row r="46" spans="1:7" x14ac:dyDescent="0.3">
      <c r="A46" s="1">
        <v>45703</v>
      </c>
      <c r="B46" t="s">
        <v>7</v>
      </c>
      <c r="C46" t="s">
        <v>10</v>
      </c>
      <c r="D46" t="s">
        <v>20</v>
      </c>
      <c r="E46">
        <v>141</v>
      </c>
      <c r="F46">
        <v>3273</v>
      </c>
      <c r="G46">
        <f t="shared" si="1"/>
        <v>461493</v>
      </c>
    </row>
    <row r="47" spans="1:7" x14ac:dyDescent="0.3">
      <c r="A47" s="1">
        <v>45704</v>
      </c>
      <c r="B47" t="s">
        <v>12</v>
      </c>
      <c r="C47" t="s">
        <v>8</v>
      </c>
      <c r="D47" t="s">
        <v>20</v>
      </c>
      <c r="E47">
        <v>66</v>
      </c>
      <c r="F47">
        <v>911</v>
      </c>
      <c r="G47">
        <f t="shared" si="1"/>
        <v>60126</v>
      </c>
    </row>
    <row r="48" spans="1:7" x14ac:dyDescent="0.3">
      <c r="A48" s="1">
        <v>45705</v>
      </c>
      <c r="B48" t="s">
        <v>14</v>
      </c>
      <c r="C48" t="s">
        <v>13</v>
      </c>
      <c r="D48" t="s">
        <v>20</v>
      </c>
      <c r="E48">
        <v>16</v>
      </c>
      <c r="F48">
        <v>2023</v>
      </c>
      <c r="G48">
        <f t="shared" si="1"/>
        <v>32368</v>
      </c>
    </row>
    <row r="49" spans="1:7" x14ac:dyDescent="0.3">
      <c r="A49" s="1">
        <v>45706</v>
      </c>
      <c r="B49" t="s">
        <v>22</v>
      </c>
      <c r="C49" t="s">
        <v>8</v>
      </c>
      <c r="D49" t="s">
        <v>9</v>
      </c>
      <c r="E49">
        <v>47</v>
      </c>
      <c r="F49">
        <v>4725</v>
      </c>
      <c r="G49">
        <f t="shared" si="1"/>
        <v>222075</v>
      </c>
    </row>
    <row r="50" spans="1:7" x14ac:dyDescent="0.3">
      <c r="A50" s="1">
        <v>45707</v>
      </c>
      <c r="B50" t="s">
        <v>22</v>
      </c>
      <c r="C50" t="s">
        <v>15</v>
      </c>
      <c r="D50" t="s">
        <v>9</v>
      </c>
      <c r="E50">
        <v>176</v>
      </c>
      <c r="F50">
        <v>3389</v>
      </c>
      <c r="G50">
        <f t="shared" si="1"/>
        <v>596464</v>
      </c>
    </row>
    <row r="51" spans="1:7" x14ac:dyDescent="0.3">
      <c r="A51" s="1">
        <v>45708</v>
      </c>
      <c r="B51" t="s">
        <v>7</v>
      </c>
      <c r="C51" t="s">
        <v>8</v>
      </c>
      <c r="D51" t="s">
        <v>9</v>
      </c>
      <c r="E51">
        <v>181</v>
      </c>
      <c r="F51">
        <v>4582</v>
      </c>
      <c r="G51">
        <f t="shared" si="1"/>
        <v>829342</v>
      </c>
    </row>
    <row r="52" spans="1:7" x14ac:dyDescent="0.3">
      <c r="A52" s="1">
        <v>45709</v>
      </c>
      <c r="B52" t="s">
        <v>14</v>
      </c>
      <c r="C52" t="s">
        <v>10</v>
      </c>
      <c r="D52" t="s">
        <v>9</v>
      </c>
      <c r="E52">
        <v>13</v>
      </c>
      <c r="F52">
        <v>2640</v>
      </c>
      <c r="G52">
        <f t="shared" si="1"/>
        <v>34320</v>
      </c>
    </row>
    <row r="53" spans="1:7" x14ac:dyDescent="0.3">
      <c r="A53" s="1">
        <v>45710</v>
      </c>
      <c r="B53" t="s">
        <v>17</v>
      </c>
      <c r="C53" t="s">
        <v>13</v>
      </c>
      <c r="D53" t="s">
        <v>11</v>
      </c>
      <c r="E53">
        <v>10</v>
      </c>
      <c r="F53">
        <v>756</v>
      </c>
      <c r="G53">
        <f t="shared" si="1"/>
        <v>7560</v>
      </c>
    </row>
    <row r="54" spans="1:7" x14ac:dyDescent="0.3">
      <c r="A54" s="1">
        <v>45711</v>
      </c>
      <c r="B54" t="s">
        <v>22</v>
      </c>
      <c r="C54" t="s">
        <v>13</v>
      </c>
      <c r="D54" t="s">
        <v>11</v>
      </c>
      <c r="E54">
        <v>38</v>
      </c>
      <c r="F54">
        <v>2936</v>
      </c>
      <c r="G54">
        <f t="shared" si="1"/>
        <v>111568</v>
      </c>
    </row>
    <row r="55" spans="1:7" x14ac:dyDescent="0.3">
      <c r="A55" s="1">
        <v>45712</v>
      </c>
      <c r="B55" t="s">
        <v>21</v>
      </c>
      <c r="C55" t="s">
        <v>10</v>
      </c>
      <c r="D55" t="s">
        <v>9</v>
      </c>
      <c r="E55">
        <v>54</v>
      </c>
      <c r="F55">
        <v>2360</v>
      </c>
      <c r="G55">
        <f t="shared" si="1"/>
        <v>127440</v>
      </c>
    </row>
    <row r="56" spans="1:7" x14ac:dyDescent="0.3">
      <c r="A56" s="1">
        <v>45713</v>
      </c>
      <c r="B56" t="s">
        <v>14</v>
      </c>
      <c r="C56" t="s">
        <v>13</v>
      </c>
      <c r="D56" t="s">
        <v>16</v>
      </c>
      <c r="E56">
        <v>181</v>
      </c>
      <c r="F56">
        <v>3365</v>
      </c>
      <c r="G56">
        <f t="shared" si="1"/>
        <v>609065</v>
      </c>
    </row>
    <row r="57" spans="1:7" x14ac:dyDescent="0.3">
      <c r="A57" s="1">
        <v>45714</v>
      </c>
      <c r="B57" t="s">
        <v>12</v>
      </c>
      <c r="C57" t="s">
        <v>10</v>
      </c>
      <c r="D57" t="s">
        <v>11</v>
      </c>
      <c r="E57">
        <v>153</v>
      </c>
      <c r="F57">
        <v>1418</v>
      </c>
      <c r="G57">
        <f t="shared" si="1"/>
        <v>216954</v>
      </c>
    </row>
    <row r="58" spans="1:7" x14ac:dyDescent="0.3">
      <c r="A58" s="1">
        <v>45715</v>
      </c>
      <c r="B58" t="s">
        <v>12</v>
      </c>
      <c r="C58" t="s">
        <v>10</v>
      </c>
      <c r="D58" t="s">
        <v>9</v>
      </c>
      <c r="E58">
        <v>85</v>
      </c>
      <c r="F58">
        <v>4401</v>
      </c>
      <c r="G58">
        <f t="shared" si="1"/>
        <v>374085</v>
      </c>
    </row>
    <row r="59" spans="1:7" x14ac:dyDescent="0.3">
      <c r="A59" s="1">
        <v>45716</v>
      </c>
      <c r="B59" t="s">
        <v>19</v>
      </c>
      <c r="C59" t="s">
        <v>15</v>
      </c>
      <c r="D59" t="s">
        <v>20</v>
      </c>
      <c r="E59">
        <v>24</v>
      </c>
      <c r="F59">
        <v>2782</v>
      </c>
      <c r="G59">
        <f t="shared" si="1"/>
        <v>66768</v>
      </c>
    </row>
    <row r="60" spans="1:7" x14ac:dyDescent="0.3">
      <c r="A60" s="1">
        <v>45717</v>
      </c>
      <c r="B60" t="s">
        <v>21</v>
      </c>
      <c r="C60" t="s">
        <v>10</v>
      </c>
      <c r="D60" t="s">
        <v>20</v>
      </c>
      <c r="E60">
        <v>26</v>
      </c>
      <c r="F60">
        <v>4263</v>
      </c>
      <c r="G60">
        <f t="shared" si="1"/>
        <v>110838</v>
      </c>
    </row>
    <row r="61" spans="1:7" x14ac:dyDescent="0.3">
      <c r="A61" s="1">
        <v>45718</v>
      </c>
      <c r="B61" t="s">
        <v>12</v>
      </c>
      <c r="C61" t="s">
        <v>15</v>
      </c>
      <c r="D61" t="s">
        <v>11</v>
      </c>
      <c r="E61">
        <v>99</v>
      </c>
      <c r="F61">
        <v>1307</v>
      </c>
      <c r="G61">
        <f t="shared" si="1"/>
        <v>129393</v>
      </c>
    </row>
    <row r="62" spans="1:7" x14ac:dyDescent="0.3">
      <c r="A62" s="1">
        <v>45719</v>
      </c>
      <c r="B62" t="s">
        <v>18</v>
      </c>
      <c r="C62" t="s">
        <v>15</v>
      </c>
      <c r="D62" t="s">
        <v>20</v>
      </c>
      <c r="E62">
        <v>65</v>
      </c>
      <c r="F62">
        <v>641</v>
      </c>
      <c r="G62">
        <f t="shared" si="1"/>
        <v>41665</v>
      </c>
    </row>
    <row r="63" spans="1:7" x14ac:dyDescent="0.3">
      <c r="A63" s="1">
        <v>45720</v>
      </c>
      <c r="B63" t="s">
        <v>7</v>
      </c>
      <c r="C63" t="s">
        <v>15</v>
      </c>
      <c r="D63" t="s">
        <v>9</v>
      </c>
      <c r="E63">
        <v>16</v>
      </c>
      <c r="F63">
        <v>4563</v>
      </c>
      <c r="G63">
        <f t="shared" si="1"/>
        <v>73008</v>
      </c>
    </row>
    <row r="64" spans="1:7" x14ac:dyDescent="0.3">
      <c r="A64" s="1">
        <v>45721</v>
      </c>
      <c r="B64" t="s">
        <v>17</v>
      </c>
      <c r="C64" t="s">
        <v>10</v>
      </c>
      <c r="D64" t="s">
        <v>11</v>
      </c>
      <c r="E64">
        <v>113</v>
      </c>
      <c r="F64">
        <v>1057</v>
      </c>
      <c r="G64">
        <f t="shared" si="1"/>
        <v>119441</v>
      </c>
    </row>
    <row r="65" spans="1:7" x14ac:dyDescent="0.3">
      <c r="A65" s="1">
        <v>45722</v>
      </c>
      <c r="B65" t="s">
        <v>12</v>
      </c>
      <c r="C65" t="s">
        <v>15</v>
      </c>
      <c r="D65" t="s">
        <v>11</v>
      </c>
      <c r="E65">
        <v>166</v>
      </c>
      <c r="F65">
        <v>4019</v>
      </c>
      <c r="G65">
        <f t="shared" si="1"/>
        <v>667154</v>
      </c>
    </row>
    <row r="66" spans="1:7" x14ac:dyDescent="0.3">
      <c r="A66" s="1">
        <v>45723</v>
      </c>
      <c r="B66" t="s">
        <v>19</v>
      </c>
      <c r="C66" t="s">
        <v>13</v>
      </c>
      <c r="D66" t="s">
        <v>9</v>
      </c>
      <c r="E66">
        <v>145</v>
      </c>
      <c r="F66">
        <v>4354</v>
      </c>
      <c r="G66">
        <f t="shared" ref="G66:G97" si="2">E66*F66</f>
        <v>631330</v>
      </c>
    </row>
    <row r="67" spans="1:7" x14ac:dyDescent="0.3">
      <c r="A67" s="1">
        <v>45724</v>
      </c>
      <c r="B67" t="s">
        <v>12</v>
      </c>
      <c r="C67" t="s">
        <v>8</v>
      </c>
      <c r="D67" t="s">
        <v>9</v>
      </c>
      <c r="E67">
        <v>58</v>
      </c>
      <c r="F67">
        <v>4794</v>
      </c>
      <c r="G67">
        <f t="shared" si="2"/>
        <v>278052</v>
      </c>
    </row>
    <row r="68" spans="1:7" x14ac:dyDescent="0.3">
      <c r="A68" s="1">
        <v>45725</v>
      </c>
      <c r="B68" t="s">
        <v>17</v>
      </c>
      <c r="C68" t="s">
        <v>8</v>
      </c>
      <c r="D68" t="s">
        <v>11</v>
      </c>
      <c r="E68">
        <v>149</v>
      </c>
      <c r="F68">
        <v>2936</v>
      </c>
      <c r="G68">
        <f t="shared" si="2"/>
        <v>437464</v>
      </c>
    </row>
    <row r="69" spans="1:7" x14ac:dyDescent="0.3">
      <c r="A69" s="1">
        <v>45726</v>
      </c>
      <c r="B69" t="s">
        <v>22</v>
      </c>
      <c r="C69" t="s">
        <v>8</v>
      </c>
      <c r="D69" t="s">
        <v>11</v>
      </c>
      <c r="E69">
        <v>141</v>
      </c>
      <c r="F69">
        <v>2212</v>
      </c>
      <c r="G69">
        <f t="shared" si="2"/>
        <v>311892</v>
      </c>
    </row>
    <row r="70" spans="1:7" x14ac:dyDescent="0.3">
      <c r="A70" s="1">
        <v>45727</v>
      </c>
      <c r="B70" t="s">
        <v>17</v>
      </c>
      <c r="C70" t="s">
        <v>15</v>
      </c>
      <c r="D70" t="s">
        <v>11</v>
      </c>
      <c r="E70">
        <v>162</v>
      </c>
      <c r="F70">
        <v>3077</v>
      </c>
      <c r="G70">
        <f t="shared" si="2"/>
        <v>498474</v>
      </c>
    </row>
    <row r="71" spans="1:7" x14ac:dyDescent="0.3">
      <c r="A71" s="1">
        <v>45728</v>
      </c>
      <c r="B71" t="s">
        <v>12</v>
      </c>
      <c r="C71" t="s">
        <v>15</v>
      </c>
      <c r="D71" t="s">
        <v>9</v>
      </c>
      <c r="E71">
        <v>135</v>
      </c>
      <c r="F71">
        <v>2402</v>
      </c>
      <c r="G71">
        <f t="shared" si="2"/>
        <v>324270</v>
      </c>
    </row>
    <row r="72" spans="1:7" x14ac:dyDescent="0.3">
      <c r="A72" s="1">
        <v>45729</v>
      </c>
      <c r="B72" t="s">
        <v>22</v>
      </c>
      <c r="C72" t="s">
        <v>13</v>
      </c>
      <c r="D72" t="s">
        <v>16</v>
      </c>
      <c r="E72">
        <v>166</v>
      </c>
      <c r="F72">
        <v>4587</v>
      </c>
      <c r="G72">
        <f t="shared" si="2"/>
        <v>761442</v>
      </c>
    </row>
    <row r="73" spans="1:7" x14ac:dyDescent="0.3">
      <c r="A73" s="1">
        <v>45730</v>
      </c>
      <c r="B73" t="s">
        <v>19</v>
      </c>
      <c r="C73" t="s">
        <v>8</v>
      </c>
      <c r="D73" t="s">
        <v>16</v>
      </c>
      <c r="E73">
        <v>33</v>
      </c>
      <c r="F73">
        <v>1170</v>
      </c>
      <c r="G73">
        <f t="shared" si="2"/>
        <v>38610</v>
      </c>
    </row>
    <row r="74" spans="1:7" x14ac:dyDescent="0.3">
      <c r="A74" s="1">
        <v>45731</v>
      </c>
      <c r="B74" t="s">
        <v>17</v>
      </c>
      <c r="C74" t="s">
        <v>8</v>
      </c>
      <c r="D74" t="s">
        <v>9</v>
      </c>
      <c r="E74">
        <v>11</v>
      </c>
      <c r="F74">
        <v>2265</v>
      </c>
      <c r="G74">
        <f t="shared" si="2"/>
        <v>24915</v>
      </c>
    </row>
    <row r="75" spans="1:7" x14ac:dyDescent="0.3">
      <c r="A75" s="1">
        <v>45732</v>
      </c>
      <c r="B75" t="s">
        <v>14</v>
      </c>
      <c r="C75" t="s">
        <v>13</v>
      </c>
      <c r="D75" t="s">
        <v>9</v>
      </c>
      <c r="E75">
        <v>83</v>
      </c>
      <c r="F75">
        <v>4648</v>
      </c>
      <c r="G75">
        <f t="shared" si="2"/>
        <v>385784</v>
      </c>
    </row>
    <row r="76" spans="1:7" x14ac:dyDescent="0.3">
      <c r="A76" s="1">
        <v>45733</v>
      </c>
      <c r="B76" t="s">
        <v>12</v>
      </c>
      <c r="C76" t="s">
        <v>15</v>
      </c>
      <c r="D76" t="s">
        <v>16</v>
      </c>
      <c r="E76">
        <v>51</v>
      </c>
      <c r="F76">
        <v>1895</v>
      </c>
      <c r="G76">
        <f t="shared" si="2"/>
        <v>96645</v>
      </c>
    </row>
    <row r="77" spans="1:7" x14ac:dyDescent="0.3">
      <c r="A77" s="1">
        <v>45734</v>
      </c>
      <c r="B77" t="s">
        <v>17</v>
      </c>
      <c r="C77" t="s">
        <v>8</v>
      </c>
      <c r="D77" t="s">
        <v>20</v>
      </c>
      <c r="E77">
        <v>98</v>
      </c>
      <c r="F77">
        <v>1425</v>
      </c>
      <c r="G77">
        <f t="shared" si="2"/>
        <v>139650</v>
      </c>
    </row>
    <row r="78" spans="1:7" x14ac:dyDescent="0.3">
      <c r="A78" s="1">
        <v>45735</v>
      </c>
      <c r="B78" t="s">
        <v>18</v>
      </c>
      <c r="C78" t="s">
        <v>15</v>
      </c>
      <c r="D78" t="s">
        <v>9</v>
      </c>
      <c r="E78">
        <v>126</v>
      </c>
      <c r="F78">
        <v>3962</v>
      </c>
      <c r="G78">
        <f t="shared" si="2"/>
        <v>499212</v>
      </c>
    </row>
    <row r="79" spans="1:7" x14ac:dyDescent="0.3">
      <c r="A79" s="1">
        <v>45736</v>
      </c>
      <c r="B79" t="s">
        <v>12</v>
      </c>
      <c r="C79" t="s">
        <v>8</v>
      </c>
      <c r="D79" t="s">
        <v>20</v>
      </c>
      <c r="E79">
        <v>95</v>
      </c>
      <c r="F79">
        <v>4623</v>
      </c>
      <c r="G79">
        <f t="shared" si="2"/>
        <v>439185</v>
      </c>
    </row>
    <row r="80" spans="1:7" x14ac:dyDescent="0.3">
      <c r="A80" s="1">
        <v>45737</v>
      </c>
      <c r="B80" t="s">
        <v>12</v>
      </c>
      <c r="C80" t="s">
        <v>15</v>
      </c>
      <c r="D80" t="s">
        <v>11</v>
      </c>
      <c r="E80">
        <v>28</v>
      </c>
      <c r="F80">
        <v>2472</v>
      </c>
      <c r="G80">
        <f t="shared" si="2"/>
        <v>69216</v>
      </c>
    </row>
    <row r="81" spans="1:7" x14ac:dyDescent="0.3">
      <c r="A81" s="1">
        <v>45738</v>
      </c>
      <c r="B81" t="s">
        <v>21</v>
      </c>
      <c r="C81" t="s">
        <v>10</v>
      </c>
      <c r="D81" t="s">
        <v>20</v>
      </c>
      <c r="E81">
        <v>127</v>
      </c>
      <c r="F81">
        <v>3401</v>
      </c>
      <c r="G81">
        <f t="shared" si="2"/>
        <v>431927</v>
      </c>
    </row>
    <row r="82" spans="1:7" x14ac:dyDescent="0.3">
      <c r="A82" s="1">
        <v>45739</v>
      </c>
      <c r="B82" t="s">
        <v>12</v>
      </c>
      <c r="C82" t="s">
        <v>15</v>
      </c>
      <c r="D82" t="s">
        <v>11</v>
      </c>
      <c r="E82">
        <v>24</v>
      </c>
      <c r="F82">
        <v>3972</v>
      </c>
      <c r="G82">
        <f t="shared" si="2"/>
        <v>95328</v>
      </c>
    </row>
    <row r="83" spans="1:7" x14ac:dyDescent="0.3">
      <c r="A83" s="1">
        <v>45740</v>
      </c>
      <c r="B83" t="s">
        <v>12</v>
      </c>
      <c r="C83" t="s">
        <v>13</v>
      </c>
      <c r="D83" t="s">
        <v>20</v>
      </c>
      <c r="E83">
        <v>177</v>
      </c>
      <c r="F83">
        <v>3524</v>
      </c>
      <c r="G83">
        <f t="shared" si="2"/>
        <v>623748</v>
      </c>
    </row>
    <row r="84" spans="1:7" x14ac:dyDescent="0.3">
      <c r="A84" s="1">
        <v>45741</v>
      </c>
      <c r="B84" t="s">
        <v>18</v>
      </c>
      <c r="C84" t="s">
        <v>8</v>
      </c>
      <c r="D84" t="s">
        <v>16</v>
      </c>
      <c r="E84">
        <v>19</v>
      </c>
      <c r="F84">
        <v>2114</v>
      </c>
      <c r="G84">
        <f t="shared" si="2"/>
        <v>40166</v>
      </c>
    </row>
    <row r="85" spans="1:7" x14ac:dyDescent="0.3">
      <c r="A85" s="1">
        <v>45742</v>
      </c>
      <c r="B85" t="s">
        <v>19</v>
      </c>
      <c r="C85" t="s">
        <v>8</v>
      </c>
      <c r="D85" t="s">
        <v>9</v>
      </c>
      <c r="E85">
        <v>34</v>
      </c>
      <c r="F85">
        <v>1212</v>
      </c>
      <c r="G85">
        <f t="shared" si="2"/>
        <v>41208</v>
      </c>
    </row>
    <row r="86" spans="1:7" x14ac:dyDescent="0.3">
      <c r="A86" s="1">
        <v>45743</v>
      </c>
      <c r="B86" t="s">
        <v>7</v>
      </c>
      <c r="C86" t="s">
        <v>10</v>
      </c>
      <c r="D86" t="s">
        <v>16</v>
      </c>
      <c r="E86">
        <v>27</v>
      </c>
      <c r="F86">
        <v>4668</v>
      </c>
      <c r="G86">
        <f t="shared" si="2"/>
        <v>126036</v>
      </c>
    </row>
    <row r="87" spans="1:7" x14ac:dyDescent="0.3">
      <c r="A87" s="1">
        <v>45744</v>
      </c>
      <c r="B87" t="s">
        <v>17</v>
      </c>
      <c r="C87" t="s">
        <v>8</v>
      </c>
      <c r="D87" t="s">
        <v>20</v>
      </c>
      <c r="E87">
        <v>157</v>
      </c>
      <c r="F87">
        <v>4845</v>
      </c>
      <c r="G87">
        <f t="shared" si="2"/>
        <v>760665</v>
      </c>
    </row>
    <row r="88" spans="1:7" x14ac:dyDescent="0.3">
      <c r="A88" s="1">
        <v>45745</v>
      </c>
      <c r="B88" t="s">
        <v>19</v>
      </c>
      <c r="C88" t="s">
        <v>8</v>
      </c>
      <c r="D88" t="s">
        <v>16</v>
      </c>
      <c r="E88">
        <v>154</v>
      </c>
      <c r="F88">
        <v>4953</v>
      </c>
      <c r="G88">
        <f t="shared" si="2"/>
        <v>762762</v>
      </c>
    </row>
    <row r="89" spans="1:7" x14ac:dyDescent="0.3">
      <c r="A89" s="1">
        <v>45746</v>
      </c>
      <c r="B89" t="s">
        <v>21</v>
      </c>
      <c r="C89" t="s">
        <v>10</v>
      </c>
      <c r="D89" t="s">
        <v>9</v>
      </c>
      <c r="E89">
        <v>161</v>
      </c>
      <c r="F89">
        <v>4447</v>
      </c>
      <c r="G89">
        <f t="shared" si="2"/>
        <v>715967</v>
      </c>
    </row>
    <row r="90" spans="1:7" x14ac:dyDescent="0.3">
      <c r="A90" s="1">
        <v>45747</v>
      </c>
      <c r="B90" t="s">
        <v>18</v>
      </c>
      <c r="C90" t="s">
        <v>15</v>
      </c>
      <c r="D90" t="s">
        <v>9</v>
      </c>
      <c r="E90">
        <v>57</v>
      </c>
      <c r="F90">
        <v>2092</v>
      </c>
      <c r="G90">
        <f t="shared" si="2"/>
        <v>119244</v>
      </c>
    </row>
    <row r="91" spans="1:7" x14ac:dyDescent="0.3">
      <c r="A91" s="1">
        <v>45748</v>
      </c>
      <c r="B91" t="s">
        <v>19</v>
      </c>
      <c r="C91" t="s">
        <v>8</v>
      </c>
      <c r="D91" t="s">
        <v>20</v>
      </c>
      <c r="E91">
        <v>69</v>
      </c>
      <c r="F91">
        <v>2749</v>
      </c>
      <c r="G91">
        <f t="shared" si="2"/>
        <v>189681</v>
      </c>
    </row>
    <row r="92" spans="1:7" x14ac:dyDescent="0.3">
      <c r="A92" s="1">
        <v>45749</v>
      </c>
      <c r="B92" t="s">
        <v>22</v>
      </c>
      <c r="C92" t="s">
        <v>15</v>
      </c>
      <c r="D92" t="s">
        <v>16</v>
      </c>
      <c r="E92">
        <v>64</v>
      </c>
      <c r="F92">
        <v>1168</v>
      </c>
      <c r="G92">
        <f t="shared" si="2"/>
        <v>74752</v>
      </c>
    </row>
    <row r="93" spans="1:7" x14ac:dyDescent="0.3">
      <c r="A93" s="1">
        <v>45750</v>
      </c>
      <c r="B93" t="s">
        <v>17</v>
      </c>
      <c r="C93" t="s">
        <v>8</v>
      </c>
      <c r="D93" t="s">
        <v>11</v>
      </c>
      <c r="E93">
        <v>120</v>
      </c>
      <c r="F93">
        <v>1514</v>
      </c>
      <c r="G93">
        <f t="shared" si="2"/>
        <v>181680</v>
      </c>
    </row>
    <row r="94" spans="1:7" x14ac:dyDescent="0.3">
      <c r="A94" s="1">
        <v>45751</v>
      </c>
      <c r="B94" t="s">
        <v>22</v>
      </c>
      <c r="C94" t="s">
        <v>15</v>
      </c>
      <c r="D94" t="s">
        <v>11</v>
      </c>
      <c r="E94">
        <v>134</v>
      </c>
      <c r="F94">
        <v>1100</v>
      </c>
      <c r="G94">
        <f t="shared" si="2"/>
        <v>147400</v>
      </c>
    </row>
    <row r="95" spans="1:7" x14ac:dyDescent="0.3">
      <c r="A95" s="1">
        <v>45752</v>
      </c>
      <c r="B95" t="s">
        <v>14</v>
      </c>
      <c r="C95" t="s">
        <v>13</v>
      </c>
      <c r="D95" t="s">
        <v>20</v>
      </c>
      <c r="E95">
        <v>180</v>
      </c>
      <c r="F95">
        <v>4965</v>
      </c>
      <c r="G95">
        <f t="shared" si="2"/>
        <v>893700</v>
      </c>
    </row>
    <row r="96" spans="1:7" x14ac:dyDescent="0.3">
      <c r="A96" s="1">
        <v>45753</v>
      </c>
      <c r="B96" t="s">
        <v>18</v>
      </c>
      <c r="C96" t="s">
        <v>10</v>
      </c>
      <c r="D96" t="s">
        <v>20</v>
      </c>
      <c r="E96">
        <v>92</v>
      </c>
      <c r="F96">
        <v>927</v>
      </c>
      <c r="G96">
        <f t="shared" si="2"/>
        <v>85284</v>
      </c>
    </row>
    <row r="97" spans="1:7" x14ac:dyDescent="0.3">
      <c r="A97" s="1">
        <v>45754</v>
      </c>
      <c r="B97" t="s">
        <v>12</v>
      </c>
      <c r="C97" t="s">
        <v>8</v>
      </c>
      <c r="D97" t="s">
        <v>9</v>
      </c>
      <c r="E97">
        <v>64</v>
      </c>
      <c r="F97">
        <v>2583</v>
      </c>
      <c r="G97">
        <f t="shared" si="2"/>
        <v>165312</v>
      </c>
    </row>
    <row r="98" spans="1:7" x14ac:dyDescent="0.3">
      <c r="A98" s="1">
        <v>45755</v>
      </c>
      <c r="B98" t="s">
        <v>22</v>
      </c>
      <c r="C98" t="s">
        <v>8</v>
      </c>
      <c r="D98" t="s">
        <v>11</v>
      </c>
      <c r="E98">
        <v>62</v>
      </c>
      <c r="F98">
        <v>1048</v>
      </c>
      <c r="G98">
        <f t="shared" ref="G98:G121" si="3">E98*F98</f>
        <v>64976</v>
      </c>
    </row>
    <row r="99" spans="1:7" x14ac:dyDescent="0.3">
      <c r="A99" s="1">
        <v>45756</v>
      </c>
      <c r="B99" t="s">
        <v>17</v>
      </c>
      <c r="C99" t="s">
        <v>13</v>
      </c>
      <c r="D99" t="s">
        <v>9</v>
      </c>
      <c r="E99">
        <v>121</v>
      </c>
      <c r="F99">
        <v>2360</v>
      </c>
      <c r="G99">
        <f t="shared" si="3"/>
        <v>285560</v>
      </c>
    </row>
    <row r="100" spans="1:7" x14ac:dyDescent="0.3">
      <c r="A100" s="1">
        <v>45757</v>
      </c>
      <c r="B100" t="s">
        <v>14</v>
      </c>
      <c r="C100" t="s">
        <v>13</v>
      </c>
      <c r="D100" t="s">
        <v>11</v>
      </c>
      <c r="E100">
        <v>81</v>
      </c>
      <c r="F100">
        <v>1680</v>
      </c>
      <c r="G100">
        <f t="shared" si="3"/>
        <v>136080</v>
      </c>
    </row>
    <row r="101" spans="1:7" x14ac:dyDescent="0.3">
      <c r="A101" s="1">
        <v>45758</v>
      </c>
      <c r="B101" t="s">
        <v>21</v>
      </c>
      <c r="C101" t="s">
        <v>10</v>
      </c>
      <c r="D101" t="s">
        <v>20</v>
      </c>
      <c r="E101">
        <v>21</v>
      </c>
      <c r="F101">
        <v>2964</v>
      </c>
      <c r="G101">
        <f t="shared" si="3"/>
        <v>62244</v>
      </c>
    </row>
    <row r="102" spans="1:7" x14ac:dyDescent="0.3">
      <c r="A102" s="1">
        <v>45759</v>
      </c>
      <c r="B102" t="s">
        <v>7</v>
      </c>
      <c r="C102" t="s">
        <v>15</v>
      </c>
      <c r="D102" t="s">
        <v>20</v>
      </c>
      <c r="E102">
        <v>73</v>
      </c>
      <c r="F102">
        <v>830</v>
      </c>
      <c r="G102">
        <f t="shared" si="3"/>
        <v>60590</v>
      </c>
    </row>
    <row r="103" spans="1:7" x14ac:dyDescent="0.3">
      <c r="A103" s="1">
        <v>45760</v>
      </c>
      <c r="B103" t="s">
        <v>18</v>
      </c>
      <c r="C103" t="s">
        <v>10</v>
      </c>
      <c r="D103" t="s">
        <v>20</v>
      </c>
      <c r="E103">
        <v>160</v>
      </c>
      <c r="F103">
        <v>585</v>
      </c>
      <c r="G103">
        <f t="shared" si="3"/>
        <v>93600</v>
      </c>
    </row>
    <row r="104" spans="1:7" x14ac:dyDescent="0.3">
      <c r="A104" s="1">
        <v>45761</v>
      </c>
      <c r="B104" t="s">
        <v>7</v>
      </c>
      <c r="C104" t="s">
        <v>13</v>
      </c>
      <c r="D104" t="s">
        <v>20</v>
      </c>
      <c r="E104">
        <v>160</v>
      </c>
      <c r="F104">
        <v>1991</v>
      </c>
      <c r="G104">
        <f t="shared" si="3"/>
        <v>318560</v>
      </c>
    </row>
    <row r="105" spans="1:7" x14ac:dyDescent="0.3">
      <c r="A105" s="1">
        <v>45762</v>
      </c>
      <c r="B105" t="s">
        <v>7</v>
      </c>
      <c r="C105" t="s">
        <v>8</v>
      </c>
      <c r="D105" t="s">
        <v>9</v>
      </c>
      <c r="E105">
        <v>187</v>
      </c>
      <c r="F105">
        <v>511</v>
      </c>
      <c r="G105">
        <f t="shared" si="3"/>
        <v>95557</v>
      </c>
    </row>
    <row r="106" spans="1:7" x14ac:dyDescent="0.3">
      <c r="A106" s="1">
        <v>45763</v>
      </c>
      <c r="B106" t="s">
        <v>22</v>
      </c>
      <c r="C106" t="s">
        <v>15</v>
      </c>
      <c r="D106" t="s">
        <v>9</v>
      </c>
      <c r="E106">
        <v>192</v>
      </c>
      <c r="F106">
        <v>676</v>
      </c>
      <c r="G106">
        <f t="shared" si="3"/>
        <v>129792</v>
      </c>
    </row>
    <row r="107" spans="1:7" x14ac:dyDescent="0.3">
      <c r="A107" s="1">
        <v>45764</v>
      </c>
      <c r="B107" t="s">
        <v>14</v>
      </c>
      <c r="C107" t="s">
        <v>10</v>
      </c>
      <c r="D107" t="s">
        <v>16</v>
      </c>
      <c r="E107">
        <v>31</v>
      </c>
      <c r="F107">
        <v>999</v>
      </c>
      <c r="G107">
        <f t="shared" si="3"/>
        <v>30969</v>
      </c>
    </row>
    <row r="108" spans="1:7" x14ac:dyDescent="0.3">
      <c r="A108" s="1">
        <v>45765</v>
      </c>
      <c r="B108" t="s">
        <v>19</v>
      </c>
      <c r="C108" t="s">
        <v>15</v>
      </c>
      <c r="D108" t="s">
        <v>9</v>
      </c>
      <c r="E108">
        <v>96</v>
      </c>
      <c r="F108">
        <v>4903</v>
      </c>
      <c r="G108">
        <f t="shared" si="3"/>
        <v>470688</v>
      </c>
    </row>
    <row r="109" spans="1:7" x14ac:dyDescent="0.3">
      <c r="A109" s="1">
        <v>45766</v>
      </c>
      <c r="B109" t="s">
        <v>17</v>
      </c>
      <c r="C109" t="s">
        <v>13</v>
      </c>
      <c r="D109" t="s">
        <v>20</v>
      </c>
      <c r="E109">
        <v>128</v>
      </c>
      <c r="F109">
        <v>3865</v>
      </c>
      <c r="G109">
        <f t="shared" si="3"/>
        <v>494720</v>
      </c>
    </row>
    <row r="110" spans="1:7" x14ac:dyDescent="0.3">
      <c r="A110" s="1">
        <v>45767</v>
      </c>
      <c r="B110" t="s">
        <v>22</v>
      </c>
      <c r="C110" t="s">
        <v>10</v>
      </c>
      <c r="D110" t="s">
        <v>11</v>
      </c>
      <c r="E110">
        <v>95</v>
      </c>
      <c r="F110">
        <v>1088</v>
      </c>
      <c r="G110">
        <f t="shared" si="3"/>
        <v>103360</v>
      </c>
    </row>
    <row r="111" spans="1:7" x14ac:dyDescent="0.3">
      <c r="A111" s="1">
        <v>45768</v>
      </c>
      <c r="B111" t="s">
        <v>7</v>
      </c>
      <c r="C111" t="s">
        <v>15</v>
      </c>
      <c r="D111" t="s">
        <v>20</v>
      </c>
      <c r="E111">
        <v>74</v>
      </c>
      <c r="F111">
        <v>680</v>
      </c>
      <c r="G111">
        <f t="shared" si="3"/>
        <v>50320</v>
      </c>
    </row>
    <row r="112" spans="1:7" x14ac:dyDescent="0.3">
      <c r="A112" s="1">
        <v>45769</v>
      </c>
      <c r="B112" t="s">
        <v>7</v>
      </c>
      <c r="C112" t="s">
        <v>13</v>
      </c>
      <c r="D112" t="s">
        <v>20</v>
      </c>
      <c r="E112">
        <v>118</v>
      </c>
      <c r="F112">
        <v>1959</v>
      </c>
      <c r="G112">
        <f t="shared" si="3"/>
        <v>231162</v>
      </c>
    </row>
    <row r="113" spans="1:7" x14ac:dyDescent="0.3">
      <c r="A113" s="1">
        <v>45770</v>
      </c>
      <c r="B113" t="s">
        <v>7</v>
      </c>
      <c r="C113" t="s">
        <v>10</v>
      </c>
      <c r="D113" t="s">
        <v>16</v>
      </c>
      <c r="E113">
        <v>11</v>
      </c>
      <c r="F113">
        <v>2682</v>
      </c>
      <c r="G113">
        <f t="shared" si="3"/>
        <v>29502</v>
      </c>
    </row>
    <row r="114" spans="1:7" x14ac:dyDescent="0.3">
      <c r="A114" s="1">
        <v>45771</v>
      </c>
      <c r="B114" t="s">
        <v>7</v>
      </c>
      <c r="C114" t="s">
        <v>10</v>
      </c>
      <c r="D114" t="s">
        <v>16</v>
      </c>
      <c r="E114">
        <v>107</v>
      </c>
      <c r="F114">
        <v>2130</v>
      </c>
      <c r="G114">
        <f t="shared" si="3"/>
        <v>227910</v>
      </c>
    </row>
    <row r="115" spans="1:7" x14ac:dyDescent="0.3">
      <c r="A115" s="1">
        <v>45772</v>
      </c>
      <c r="B115" t="s">
        <v>7</v>
      </c>
      <c r="C115" t="s">
        <v>15</v>
      </c>
      <c r="D115" t="s">
        <v>9</v>
      </c>
      <c r="E115">
        <v>119</v>
      </c>
      <c r="F115">
        <v>2806</v>
      </c>
      <c r="G115">
        <f t="shared" si="3"/>
        <v>333914</v>
      </c>
    </row>
    <row r="116" spans="1:7" x14ac:dyDescent="0.3">
      <c r="A116" s="1">
        <v>45773</v>
      </c>
      <c r="B116" t="s">
        <v>21</v>
      </c>
      <c r="C116" t="s">
        <v>13</v>
      </c>
      <c r="D116" t="s">
        <v>9</v>
      </c>
      <c r="E116">
        <v>156</v>
      </c>
      <c r="F116">
        <v>1107</v>
      </c>
      <c r="G116">
        <f t="shared" si="3"/>
        <v>172692</v>
      </c>
    </row>
    <row r="117" spans="1:7" x14ac:dyDescent="0.3">
      <c r="A117" s="1">
        <v>45774</v>
      </c>
      <c r="B117" t="s">
        <v>17</v>
      </c>
      <c r="C117" t="s">
        <v>8</v>
      </c>
      <c r="D117" t="s">
        <v>11</v>
      </c>
      <c r="E117">
        <v>77</v>
      </c>
      <c r="F117">
        <v>1741</v>
      </c>
      <c r="G117">
        <f t="shared" si="3"/>
        <v>134057</v>
      </c>
    </row>
    <row r="118" spans="1:7" x14ac:dyDescent="0.3">
      <c r="A118" s="1">
        <v>45775</v>
      </c>
      <c r="B118" t="s">
        <v>21</v>
      </c>
      <c r="C118" t="s">
        <v>13</v>
      </c>
      <c r="D118" t="s">
        <v>16</v>
      </c>
      <c r="E118">
        <v>8</v>
      </c>
      <c r="F118">
        <v>1114</v>
      </c>
      <c r="G118">
        <f t="shared" si="3"/>
        <v>8912</v>
      </c>
    </row>
    <row r="119" spans="1:7" x14ac:dyDescent="0.3">
      <c r="A119" s="1">
        <v>45776</v>
      </c>
      <c r="B119" t="s">
        <v>14</v>
      </c>
      <c r="C119" t="s">
        <v>15</v>
      </c>
      <c r="D119" t="s">
        <v>20</v>
      </c>
      <c r="E119">
        <v>69</v>
      </c>
      <c r="F119">
        <v>3319</v>
      </c>
      <c r="G119">
        <f t="shared" si="3"/>
        <v>229011</v>
      </c>
    </row>
    <row r="120" spans="1:7" x14ac:dyDescent="0.3">
      <c r="A120" s="1">
        <v>45777</v>
      </c>
      <c r="B120" t="s">
        <v>17</v>
      </c>
      <c r="C120" t="s">
        <v>10</v>
      </c>
      <c r="D120" t="s">
        <v>9</v>
      </c>
      <c r="E120">
        <v>182</v>
      </c>
      <c r="F120">
        <v>1160</v>
      </c>
      <c r="G120">
        <f t="shared" si="3"/>
        <v>211120</v>
      </c>
    </row>
    <row r="121" spans="1:7" x14ac:dyDescent="0.3">
      <c r="A121" s="1">
        <v>45778</v>
      </c>
      <c r="B121" t="s">
        <v>7</v>
      </c>
      <c r="C121" t="s">
        <v>10</v>
      </c>
      <c r="D121" t="s">
        <v>16</v>
      </c>
      <c r="E121">
        <v>131</v>
      </c>
      <c r="F121">
        <v>4263</v>
      </c>
      <c r="G121">
        <f t="shared" si="3"/>
        <v>558453</v>
      </c>
    </row>
    <row r="130" spans="9:10" x14ac:dyDescent="0.3">
      <c r="I130" t="s">
        <v>23</v>
      </c>
    </row>
    <row r="131" spans="9:10" x14ac:dyDescent="0.3">
      <c r="I131" t="s">
        <v>24</v>
      </c>
      <c r="J131">
        <f>SUM(G2:G121)</f>
        <v>33573405</v>
      </c>
    </row>
    <row r="132" spans="9:10" x14ac:dyDescent="0.3">
      <c r="I132" t="s">
        <v>25</v>
      </c>
    </row>
    <row r="133" spans="9:10" x14ac:dyDescent="0.3">
      <c r="I133" t="s">
        <v>24</v>
      </c>
      <c r="J133">
        <f>AVERAGE(G2:G121)</f>
        <v>279778.375</v>
      </c>
    </row>
    <row r="134" spans="9:10" x14ac:dyDescent="0.3">
      <c r="I134" t="s">
        <v>26</v>
      </c>
    </row>
    <row r="135" spans="9:10" x14ac:dyDescent="0.3">
      <c r="I135" t="s">
        <v>24</v>
      </c>
      <c r="J135">
        <f>MAX(G2:G121)</f>
        <v>893700</v>
      </c>
    </row>
    <row r="136" spans="9:10" x14ac:dyDescent="0.3">
      <c r="I136" t="s">
        <v>27</v>
      </c>
    </row>
    <row r="137" spans="9:10" x14ac:dyDescent="0.3">
      <c r="I137" t="s">
        <v>24</v>
      </c>
      <c r="J137">
        <f>MIN(G2:G121)</f>
        <v>7560</v>
      </c>
    </row>
    <row r="138" spans="9:10" x14ac:dyDescent="0.3">
      <c r="I138" t="s">
        <v>28</v>
      </c>
    </row>
    <row r="139" spans="9:10" x14ac:dyDescent="0.3">
      <c r="I139" t="s">
        <v>24</v>
      </c>
      <c r="J139">
        <f>SUM(E2:E121)</f>
        <v>11925</v>
      </c>
    </row>
    <row r="140" spans="9:10" x14ac:dyDescent="0.3">
      <c r="I140" t="s">
        <v>29</v>
      </c>
    </row>
    <row r="141" spans="9:10" x14ac:dyDescent="0.3">
      <c r="I141" t="s">
        <v>24</v>
      </c>
      <c r="J141" s="3">
        <f>AVERAGE(E2:E121)</f>
        <v>99.375</v>
      </c>
    </row>
    <row r="142" spans="9:10" x14ac:dyDescent="0.3">
      <c r="I142" t="s">
        <v>30</v>
      </c>
    </row>
    <row r="143" spans="9:10" x14ac:dyDescent="0.3">
      <c r="I143" t="s">
        <v>24</v>
      </c>
      <c r="J143">
        <f>COUNTA(A2:A121)</f>
        <v>120</v>
      </c>
    </row>
    <row r="144" spans="9:10" x14ac:dyDescent="0.3">
      <c r="I144" t="s">
        <v>31</v>
      </c>
    </row>
    <row r="145" spans="9:10" x14ac:dyDescent="0.3">
      <c r="I145" t="s">
        <v>24</v>
      </c>
      <c r="J145">
        <f>SUMIF(C2:C121,"North",G2:G121)</f>
        <v>7469321</v>
      </c>
    </row>
    <row r="146" spans="9:10" x14ac:dyDescent="0.3">
      <c r="I146" t="s">
        <v>32</v>
      </c>
    </row>
    <row r="147" spans="9:10" x14ac:dyDescent="0.3">
      <c r="I147" t="s">
        <v>24</v>
      </c>
      <c r="J147">
        <f>SUMIF(D2:D121,"Laptop",G2:G121)</f>
        <v>7560563</v>
      </c>
    </row>
    <row r="148" spans="9:10" x14ac:dyDescent="0.3">
      <c r="I148" t="s">
        <v>33</v>
      </c>
    </row>
    <row r="149" spans="9:10" x14ac:dyDescent="0.3">
      <c r="I149" t="s">
        <v>24</v>
      </c>
      <c r="J149">
        <f>COUNTIF(C2:C121,"West")</f>
        <v>34</v>
      </c>
    </row>
  </sheetData>
  <conditionalFormatting sqref="J131:J149">
    <cfRule type="notContainsBlanks" dxfId="20" priority="1">
      <formula>LEN(TRIM(J131))&gt;0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8"/>
  <sheetViews>
    <sheetView topLeftCell="A133" workbookViewId="0">
      <selection activeCell="K156" sqref="K156"/>
    </sheetView>
  </sheetViews>
  <sheetFormatPr defaultRowHeight="14.4" x14ac:dyDescent="0.3"/>
  <cols>
    <col min="1" max="1" width="17" bestFit="1" customWidth="1"/>
    <col min="2" max="2" width="10.6640625" bestFit="1" customWidth="1"/>
    <col min="3" max="3" width="6.5546875" bestFit="1" customWidth="1"/>
    <col min="4" max="4" width="9.109375" bestFit="1" customWidth="1"/>
    <col min="5" max="5" width="5.21875" bestFit="1" customWidth="1"/>
    <col min="6" max="6" width="5" bestFit="1" customWidth="1"/>
    <col min="7" max="7" width="7" bestFit="1" customWidth="1"/>
    <col min="9" max="9" width="2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45659</v>
      </c>
      <c r="B2" t="s">
        <v>17</v>
      </c>
      <c r="C2" t="s">
        <v>15</v>
      </c>
      <c r="D2" t="s">
        <v>9</v>
      </c>
      <c r="E2">
        <v>129</v>
      </c>
      <c r="F2">
        <v>965</v>
      </c>
      <c r="G2">
        <f t="shared" ref="G2:G33" si="0">E2*F2</f>
        <v>124485</v>
      </c>
    </row>
    <row r="3" spans="1:7" x14ac:dyDescent="0.3">
      <c r="A3" s="1">
        <v>45660</v>
      </c>
      <c r="B3" t="s">
        <v>19</v>
      </c>
      <c r="C3" t="s">
        <v>15</v>
      </c>
      <c r="D3" t="s">
        <v>16</v>
      </c>
      <c r="E3">
        <v>27</v>
      </c>
      <c r="F3">
        <v>1908</v>
      </c>
      <c r="G3">
        <f t="shared" si="0"/>
        <v>51516</v>
      </c>
    </row>
    <row r="4" spans="1:7" x14ac:dyDescent="0.3">
      <c r="A4" s="1">
        <v>45661</v>
      </c>
      <c r="B4" t="s">
        <v>7</v>
      </c>
      <c r="C4" t="s">
        <v>8</v>
      </c>
      <c r="D4" t="s">
        <v>16</v>
      </c>
      <c r="E4">
        <v>60</v>
      </c>
      <c r="F4">
        <v>2965</v>
      </c>
      <c r="G4">
        <f t="shared" si="0"/>
        <v>177900</v>
      </c>
    </row>
    <row r="5" spans="1:7" x14ac:dyDescent="0.3">
      <c r="A5" s="1">
        <v>45662</v>
      </c>
      <c r="B5" t="s">
        <v>14</v>
      </c>
      <c r="C5" t="s">
        <v>10</v>
      </c>
      <c r="D5" t="s">
        <v>16</v>
      </c>
      <c r="E5">
        <v>101</v>
      </c>
      <c r="F5">
        <v>1582</v>
      </c>
      <c r="G5">
        <f t="shared" si="0"/>
        <v>159782</v>
      </c>
    </row>
    <row r="6" spans="1:7" x14ac:dyDescent="0.3">
      <c r="A6" s="1">
        <v>45663</v>
      </c>
      <c r="B6" t="s">
        <v>14</v>
      </c>
      <c r="C6" t="s">
        <v>8</v>
      </c>
      <c r="D6" t="s">
        <v>11</v>
      </c>
      <c r="E6">
        <v>129</v>
      </c>
      <c r="F6">
        <v>556</v>
      </c>
      <c r="G6">
        <f t="shared" si="0"/>
        <v>71724</v>
      </c>
    </row>
    <row r="7" spans="1:7" x14ac:dyDescent="0.3">
      <c r="A7" s="1">
        <v>45664</v>
      </c>
      <c r="B7" t="s">
        <v>21</v>
      </c>
      <c r="C7" t="s">
        <v>8</v>
      </c>
      <c r="D7" t="s">
        <v>20</v>
      </c>
      <c r="E7">
        <v>63</v>
      </c>
      <c r="F7">
        <v>1232</v>
      </c>
      <c r="G7">
        <f t="shared" si="0"/>
        <v>77616</v>
      </c>
    </row>
    <row r="8" spans="1:7" x14ac:dyDescent="0.3">
      <c r="A8" s="1">
        <v>45665</v>
      </c>
      <c r="B8" t="s">
        <v>18</v>
      </c>
      <c r="C8" t="s">
        <v>15</v>
      </c>
      <c r="D8" t="s">
        <v>20</v>
      </c>
      <c r="E8">
        <v>200</v>
      </c>
      <c r="F8">
        <v>4537</v>
      </c>
      <c r="G8">
        <f t="shared" si="0"/>
        <v>907400</v>
      </c>
    </row>
    <row r="9" spans="1:7" x14ac:dyDescent="0.3">
      <c r="A9" s="1">
        <v>45666</v>
      </c>
      <c r="B9" t="s">
        <v>18</v>
      </c>
      <c r="C9" t="s">
        <v>10</v>
      </c>
      <c r="D9" t="s">
        <v>20</v>
      </c>
      <c r="E9">
        <v>12</v>
      </c>
      <c r="F9">
        <v>3476</v>
      </c>
      <c r="G9">
        <f t="shared" si="0"/>
        <v>41712</v>
      </c>
    </row>
    <row r="10" spans="1:7" x14ac:dyDescent="0.3">
      <c r="A10" s="1">
        <v>45667</v>
      </c>
      <c r="B10" t="s">
        <v>7</v>
      </c>
      <c r="C10" t="s">
        <v>13</v>
      </c>
      <c r="D10" t="s">
        <v>20</v>
      </c>
      <c r="E10">
        <v>135</v>
      </c>
      <c r="F10">
        <v>2825</v>
      </c>
      <c r="G10">
        <f t="shared" si="0"/>
        <v>381375</v>
      </c>
    </row>
    <row r="11" spans="1:7" x14ac:dyDescent="0.3">
      <c r="A11" s="1">
        <v>45668</v>
      </c>
      <c r="B11" t="s">
        <v>17</v>
      </c>
      <c r="C11" t="s">
        <v>13</v>
      </c>
      <c r="D11" t="s">
        <v>16</v>
      </c>
      <c r="E11">
        <v>200</v>
      </c>
      <c r="F11">
        <v>2102</v>
      </c>
      <c r="G11">
        <f t="shared" si="0"/>
        <v>420400</v>
      </c>
    </row>
    <row r="12" spans="1:7" x14ac:dyDescent="0.3">
      <c r="A12" s="1">
        <v>45669</v>
      </c>
      <c r="B12" t="s">
        <v>21</v>
      </c>
      <c r="C12" t="s">
        <v>13</v>
      </c>
      <c r="D12" t="s">
        <v>16</v>
      </c>
      <c r="E12">
        <v>96</v>
      </c>
      <c r="F12">
        <v>3208</v>
      </c>
      <c r="G12">
        <f t="shared" si="0"/>
        <v>307968</v>
      </c>
    </row>
    <row r="13" spans="1:7" x14ac:dyDescent="0.3">
      <c r="A13" s="1">
        <v>45670</v>
      </c>
      <c r="B13" t="s">
        <v>19</v>
      </c>
      <c r="C13" t="s">
        <v>8</v>
      </c>
      <c r="D13" t="s">
        <v>11</v>
      </c>
      <c r="E13">
        <v>18</v>
      </c>
      <c r="F13">
        <v>3653</v>
      </c>
      <c r="G13">
        <f t="shared" si="0"/>
        <v>65754</v>
      </c>
    </row>
    <row r="14" spans="1:7" x14ac:dyDescent="0.3">
      <c r="A14" s="1">
        <v>45671</v>
      </c>
      <c r="B14" t="s">
        <v>21</v>
      </c>
      <c r="C14" t="s">
        <v>15</v>
      </c>
      <c r="D14" t="s">
        <v>20</v>
      </c>
      <c r="E14">
        <v>86</v>
      </c>
      <c r="F14">
        <v>4730</v>
      </c>
      <c r="G14">
        <f t="shared" si="0"/>
        <v>406780</v>
      </c>
    </row>
    <row r="15" spans="1:7" x14ac:dyDescent="0.3">
      <c r="A15" s="1">
        <v>45672</v>
      </c>
      <c r="B15" t="s">
        <v>18</v>
      </c>
      <c r="C15" t="s">
        <v>8</v>
      </c>
      <c r="D15" t="s">
        <v>16</v>
      </c>
      <c r="E15">
        <v>39</v>
      </c>
      <c r="F15">
        <v>1764</v>
      </c>
      <c r="G15">
        <f t="shared" si="0"/>
        <v>68796</v>
      </c>
    </row>
    <row r="16" spans="1:7" x14ac:dyDescent="0.3">
      <c r="A16" s="1">
        <v>45673</v>
      </c>
      <c r="B16" t="s">
        <v>12</v>
      </c>
      <c r="C16" t="s">
        <v>15</v>
      </c>
      <c r="D16" t="s">
        <v>11</v>
      </c>
      <c r="E16">
        <v>71</v>
      </c>
      <c r="F16">
        <v>4745</v>
      </c>
      <c r="G16">
        <f t="shared" si="0"/>
        <v>336895</v>
      </c>
    </row>
    <row r="17" spans="1:7" x14ac:dyDescent="0.3">
      <c r="A17" s="1">
        <v>45674</v>
      </c>
      <c r="B17" t="s">
        <v>14</v>
      </c>
      <c r="C17" t="s">
        <v>15</v>
      </c>
      <c r="D17" t="s">
        <v>16</v>
      </c>
      <c r="E17">
        <v>57</v>
      </c>
      <c r="F17">
        <v>1888</v>
      </c>
      <c r="G17">
        <f t="shared" si="0"/>
        <v>107616</v>
      </c>
    </row>
    <row r="18" spans="1:7" x14ac:dyDescent="0.3">
      <c r="A18" s="1">
        <v>45675</v>
      </c>
      <c r="B18" t="s">
        <v>22</v>
      </c>
      <c r="C18" t="s">
        <v>13</v>
      </c>
      <c r="D18" t="s">
        <v>11</v>
      </c>
      <c r="E18">
        <v>86</v>
      </c>
      <c r="F18">
        <v>1912</v>
      </c>
      <c r="G18">
        <f t="shared" si="0"/>
        <v>164432</v>
      </c>
    </row>
    <row r="19" spans="1:7" x14ac:dyDescent="0.3">
      <c r="A19" s="1">
        <v>45676</v>
      </c>
      <c r="B19" t="s">
        <v>14</v>
      </c>
      <c r="C19" t="s">
        <v>10</v>
      </c>
      <c r="D19" t="s">
        <v>20</v>
      </c>
      <c r="E19">
        <v>104</v>
      </c>
      <c r="F19">
        <v>2861</v>
      </c>
      <c r="G19">
        <f t="shared" si="0"/>
        <v>297544</v>
      </c>
    </row>
    <row r="20" spans="1:7" x14ac:dyDescent="0.3">
      <c r="A20" s="1">
        <v>45677</v>
      </c>
      <c r="B20" t="s">
        <v>19</v>
      </c>
      <c r="C20" t="s">
        <v>13</v>
      </c>
      <c r="D20" t="s">
        <v>20</v>
      </c>
      <c r="E20">
        <v>32</v>
      </c>
      <c r="F20">
        <v>2514</v>
      </c>
      <c r="G20">
        <f t="shared" si="0"/>
        <v>80448</v>
      </c>
    </row>
    <row r="21" spans="1:7" x14ac:dyDescent="0.3">
      <c r="A21" s="1">
        <v>45678</v>
      </c>
      <c r="B21" t="s">
        <v>7</v>
      </c>
      <c r="C21" t="s">
        <v>8</v>
      </c>
      <c r="D21" t="s">
        <v>16</v>
      </c>
      <c r="E21">
        <v>49</v>
      </c>
      <c r="F21">
        <v>3946</v>
      </c>
      <c r="G21">
        <f t="shared" si="0"/>
        <v>193354</v>
      </c>
    </row>
    <row r="22" spans="1:7" x14ac:dyDescent="0.3">
      <c r="A22" s="1">
        <v>45679</v>
      </c>
      <c r="B22" t="s">
        <v>21</v>
      </c>
      <c r="C22" t="s">
        <v>13</v>
      </c>
      <c r="D22" t="s">
        <v>11</v>
      </c>
      <c r="E22">
        <v>32</v>
      </c>
      <c r="F22">
        <v>4540</v>
      </c>
      <c r="G22">
        <f t="shared" si="0"/>
        <v>145280</v>
      </c>
    </row>
    <row r="23" spans="1:7" x14ac:dyDescent="0.3">
      <c r="A23" s="1">
        <v>45680</v>
      </c>
      <c r="B23" t="s">
        <v>14</v>
      </c>
      <c r="C23" t="s">
        <v>13</v>
      </c>
      <c r="D23" t="s">
        <v>20</v>
      </c>
      <c r="E23">
        <v>152</v>
      </c>
      <c r="F23">
        <v>4218</v>
      </c>
      <c r="G23">
        <f t="shared" si="0"/>
        <v>641136</v>
      </c>
    </row>
    <row r="24" spans="1:7" x14ac:dyDescent="0.3">
      <c r="A24" s="1">
        <v>45681</v>
      </c>
      <c r="B24" t="s">
        <v>14</v>
      </c>
      <c r="C24" t="s">
        <v>13</v>
      </c>
      <c r="D24" t="s">
        <v>9</v>
      </c>
      <c r="E24">
        <v>121</v>
      </c>
      <c r="F24">
        <v>2600</v>
      </c>
      <c r="G24">
        <f t="shared" si="0"/>
        <v>314600</v>
      </c>
    </row>
    <row r="25" spans="1:7" x14ac:dyDescent="0.3">
      <c r="A25" s="1">
        <v>45682</v>
      </c>
      <c r="B25" t="s">
        <v>14</v>
      </c>
      <c r="C25" t="s">
        <v>13</v>
      </c>
      <c r="D25" t="s">
        <v>16</v>
      </c>
      <c r="E25">
        <v>133</v>
      </c>
      <c r="F25">
        <v>4795</v>
      </c>
      <c r="G25">
        <f t="shared" si="0"/>
        <v>637735</v>
      </c>
    </row>
    <row r="26" spans="1:7" x14ac:dyDescent="0.3">
      <c r="A26" s="1">
        <v>45683</v>
      </c>
      <c r="B26" t="s">
        <v>19</v>
      </c>
      <c r="C26" t="s">
        <v>15</v>
      </c>
      <c r="D26" t="s">
        <v>11</v>
      </c>
      <c r="E26">
        <v>45</v>
      </c>
      <c r="F26">
        <v>2590</v>
      </c>
      <c r="G26">
        <f t="shared" si="0"/>
        <v>116550</v>
      </c>
    </row>
    <row r="27" spans="1:7" x14ac:dyDescent="0.3">
      <c r="A27" s="1">
        <v>45684</v>
      </c>
      <c r="B27" t="s">
        <v>21</v>
      </c>
      <c r="C27" t="s">
        <v>8</v>
      </c>
      <c r="D27" t="s">
        <v>16</v>
      </c>
      <c r="E27">
        <v>21</v>
      </c>
      <c r="F27">
        <v>2324</v>
      </c>
      <c r="G27">
        <f t="shared" si="0"/>
        <v>48804</v>
      </c>
    </row>
    <row r="28" spans="1:7" x14ac:dyDescent="0.3">
      <c r="A28" s="1">
        <v>45685</v>
      </c>
      <c r="B28" t="s">
        <v>12</v>
      </c>
      <c r="C28" t="s">
        <v>15</v>
      </c>
      <c r="D28" t="s">
        <v>16</v>
      </c>
      <c r="E28">
        <v>52</v>
      </c>
      <c r="F28">
        <v>4582</v>
      </c>
      <c r="G28">
        <f t="shared" si="0"/>
        <v>238264</v>
      </c>
    </row>
    <row r="29" spans="1:7" x14ac:dyDescent="0.3">
      <c r="A29" s="1">
        <v>45686</v>
      </c>
      <c r="B29" t="s">
        <v>17</v>
      </c>
      <c r="C29" t="s">
        <v>10</v>
      </c>
      <c r="D29" t="s">
        <v>20</v>
      </c>
      <c r="E29">
        <v>33</v>
      </c>
      <c r="F29">
        <v>4019</v>
      </c>
      <c r="G29">
        <f t="shared" si="0"/>
        <v>132627</v>
      </c>
    </row>
    <row r="30" spans="1:7" x14ac:dyDescent="0.3">
      <c r="A30" s="1">
        <v>45687</v>
      </c>
      <c r="B30" t="s">
        <v>12</v>
      </c>
      <c r="C30" t="s">
        <v>13</v>
      </c>
      <c r="D30" t="s">
        <v>20</v>
      </c>
      <c r="E30">
        <v>135</v>
      </c>
      <c r="F30">
        <v>2749</v>
      </c>
      <c r="G30">
        <f t="shared" si="0"/>
        <v>371115</v>
      </c>
    </row>
    <row r="31" spans="1:7" x14ac:dyDescent="0.3">
      <c r="A31" s="1">
        <v>45688</v>
      </c>
      <c r="B31" t="s">
        <v>22</v>
      </c>
      <c r="C31" t="s">
        <v>8</v>
      </c>
      <c r="D31" t="s">
        <v>16</v>
      </c>
      <c r="E31">
        <v>7</v>
      </c>
      <c r="F31">
        <v>2045</v>
      </c>
      <c r="G31">
        <f t="shared" si="0"/>
        <v>14315</v>
      </c>
    </row>
    <row r="32" spans="1:7" x14ac:dyDescent="0.3">
      <c r="A32" s="1">
        <v>45689</v>
      </c>
      <c r="B32" t="s">
        <v>17</v>
      </c>
      <c r="C32" t="s">
        <v>15</v>
      </c>
      <c r="D32" t="s">
        <v>9</v>
      </c>
      <c r="E32">
        <v>58</v>
      </c>
      <c r="F32">
        <v>671</v>
      </c>
      <c r="G32">
        <f t="shared" si="0"/>
        <v>38918</v>
      </c>
    </row>
    <row r="33" spans="1:7" x14ac:dyDescent="0.3">
      <c r="A33" s="1">
        <v>45690</v>
      </c>
      <c r="B33" t="s">
        <v>12</v>
      </c>
      <c r="C33" t="s">
        <v>8</v>
      </c>
      <c r="D33" t="s">
        <v>16</v>
      </c>
      <c r="E33">
        <v>140</v>
      </c>
      <c r="F33">
        <v>2734</v>
      </c>
      <c r="G33">
        <f t="shared" si="0"/>
        <v>382760</v>
      </c>
    </row>
    <row r="34" spans="1:7" x14ac:dyDescent="0.3">
      <c r="A34" s="1">
        <v>45691</v>
      </c>
      <c r="B34" t="s">
        <v>22</v>
      </c>
      <c r="C34" t="s">
        <v>8</v>
      </c>
      <c r="D34" t="s">
        <v>20</v>
      </c>
      <c r="E34">
        <v>53</v>
      </c>
      <c r="F34">
        <v>2384</v>
      </c>
      <c r="G34">
        <f t="shared" ref="G34:G65" si="1">E34*F34</f>
        <v>126352</v>
      </c>
    </row>
    <row r="35" spans="1:7" x14ac:dyDescent="0.3">
      <c r="A35" s="1">
        <v>45692</v>
      </c>
      <c r="B35" t="s">
        <v>12</v>
      </c>
      <c r="C35" t="s">
        <v>13</v>
      </c>
      <c r="D35" t="s">
        <v>11</v>
      </c>
      <c r="E35">
        <v>123</v>
      </c>
      <c r="F35">
        <v>3993</v>
      </c>
      <c r="G35">
        <f t="shared" si="1"/>
        <v>491139</v>
      </c>
    </row>
    <row r="36" spans="1:7" x14ac:dyDescent="0.3">
      <c r="A36" s="1">
        <v>45693</v>
      </c>
      <c r="B36" t="s">
        <v>12</v>
      </c>
      <c r="C36" t="s">
        <v>15</v>
      </c>
      <c r="D36" t="s">
        <v>9</v>
      </c>
      <c r="E36">
        <v>140</v>
      </c>
      <c r="F36">
        <v>3073</v>
      </c>
      <c r="G36">
        <f t="shared" si="1"/>
        <v>430220</v>
      </c>
    </row>
    <row r="37" spans="1:7" x14ac:dyDescent="0.3">
      <c r="A37" s="1">
        <v>45694</v>
      </c>
      <c r="B37" t="s">
        <v>21</v>
      </c>
      <c r="C37" t="s">
        <v>10</v>
      </c>
      <c r="D37" t="s">
        <v>11</v>
      </c>
      <c r="E37">
        <v>191</v>
      </c>
      <c r="F37">
        <v>1560</v>
      </c>
      <c r="G37">
        <f t="shared" si="1"/>
        <v>297960</v>
      </c>
    </row>
    <row r="38" spans="1:7" x14ac:dyDescent="0.3">
      <c r="A38" s="1">
        <v>45695</v>
      </c>
      <c r="B38" t="s">
        <v>22</v>
      </c>
      <c r="C38" t="s">
        <v>8</v>
      </c>
      <c r="D38" t="s">
        <v>11</v>
      </c>
      <c r="E38">
        <v>18</v>
      </c>
      <c r="F38">
        <v>1750</v>
      </c>
      <c r="G38">
        <f t="shared" si="1"/>
        <v>31500</v>
      </c>
    </row>
    <row r="39" spans="1:7" x14ac:dyDescent="0.3">
      <c r="A39" s="1">
        <v>45696</v>
      </c>
      <c r="B39" t="s">
        <v>12</v>
      </c>
      <c r="C39" t="s">
        <v>15</v>
      </c>
      <c r="D39" t="s">
        <v>11</v>
      </c>
      <c r="E39">
        <v>103</v>
      </c>
      <c r="F39">
        <v>2904</v>
      </c>
      <c r="G39">
        <f t="shared" si="1"/>
        <v>299112</v>
      </c>
    </row>
    <row r="40" spans="1:7" x14ac:dyDescent="0.3">
      <c r="A40" s="1">
        <v>45697</v>
      </c>
      <c r="B40" t="s">
        <v>21</v>
      </c>
      <c r="C40" t="s">
        <v>8</v>
      </c>
      <c r="D40" t="s">
        <v>16</v>
      </c>
      <c r="E40">
        <v>73</v>
      </c>
      <c r="F40">
        <v>3294</v>
      </c>
      <c r="G40">
        <f t="shared" si="1"/>
        <v>240462</v>
      </c>
    </row>
    <row r="41" spans="1:7" x14ac:dyDescent="0.3">
      <c r="A41" s="1">
        <v>45698</v>
      </c>
      <c r="B41" t="s">
        <v>14</v>
      </c>
      <c r="C41" t="s">
        <v>10</v>
      </c>
      <c r="D41" t="s">
        <v>9</v>
      </c>
      <c r="E41">
        <v>111</v>
      </c>
      <c r="F41">
        <v>2937</v>
      </c>
      <c r="G41">
        <f t="shared" si="1"/>
        <v>326007</v>
      </c>
    </row>
    <row r="42" spans="1:7" x14ac:dyDescent="0.3">
      <c r="A42" s="1">
        <v>45699</v>
      </c>
      <c r="B42" t="s">
        <v>14</v>
      </c>
      <c r="C42" t="s">
        <v>15</v>
      </c>
      <c r="D42" t="s">
        <v>9</v>
      </c>
      <c r="E42">
        <v>80</v>
      </c>
      <c r="F42">
        <v>540</v>
      </c>
      <c r="G42">
        <f t="shared" si="1"/>
        <v>43200</v>
      </c>
    </row>
    <row r="43" spans="1:7" x14ac:dyDescent="0.3">
      <c r="A43" s="1">
        <v>45700</v>
      </c>
      <c r="B43" t="s">
        <v>12</v>
      </c>
      <c r="C43" t="s">
        <v>13</v>
      </c>
      <c r="D43" t="s">
        <v>20</v>
      </c>
      <c r="E43">
        <v>112</v>
      </c>
      <c r="F43">
        <v>4139</v>
      </c>
      <c r="G43">
        <f t="shared" si="1"/>
        <v>463568</v>
      </c>
    </row>
    <row r="44" spans="1:7" x14ac:dyDescent="0.3">
      <c r="A44" s="1">
        <v>45701</v>
      </c>
      <c r="B44" t="s">
        <v>18</v>
      </c>
      <c r="C44" t="s">
        <v>8</v>
      </c>
      <c r="D44" t="s">
        <v>11</v>
      </c>
      <c r="E44">
        <v>25</v>
      </c>
      <c r="F44">
        <v>2009</v>
      </c>
      <c r="G44">
        <f t="shared" si="1"/>
        <v>50225</v>
      </c>
    </row>
    <row r="45" spans="1:7" x14ac:dyDescent="0.3">
      <c r="A45" s="1">
        <v>45702</v>
      </c>
      <c r="B45" t="s">
        <v>22</v>
      </c>
      <c r="C45" t="s">
        <v>15</v>
      </c>
      <c r="D45" t="s">
        <v>9</v>
      </c>
      <c r="E45">
        <v>23</v>
      </c>
      <c r="F45">
        <v>2461</v>
      </c>
      <c r="G45">
        <f t="shared" si="1"/>
        <v>56603</v>
      </c>
    </row>
    <row r="46" spans="1:7" x14ac:dyDescent="0.3">
      <c r="A46" s="1">
        <v>45703</v>
      </c>
      <c r="B46" t="s">
        <v>14</v>
      </c>
      <c r="C46" t="s">
        <v>13</v>
      </c>
      <c r="D46" t="s">
        <v>20</v>
      </c>
      <c r="E46">
        <v>66</v>
      </c>
      <c r="F46">
        <v>4018</v>
      </c>
      <c r="G46">
        <f t="shared" si="1"/>
        <v>265188</v>
      </c>
    </row>
    <row r="47" spans="1:7" x14ac:dyDescent="0.3">
      <c r="A47" s="1">
        <v>45704</v>
      </c>
      <c r="B47" t="s">
        <v>19</v>
      </c>
      <c r="C47" t="s">
        <v>10</v>
      </c>
      <c r="D47" t="s">
        <v>16</v>
      </c>
      <c r="E47">
        <v>16</v>
      </c>
      <c r="F47">
        <v>529</v>
      </c>
      <c r="G47">
        <f t="shared" si="1"/>
        <v>8464</v>
      </c>
    </row>
    <row r="48" spans="1:7" x14ac:dyDescent="0.3">
      <c r="A48" s="1">
        <v>45705</v>
      </c>
      <c r="B48" t="s">
        <v>22</v>
      </c>
      <c r="C48" t="s">
        <v>15</v>
      </c>
      <c r="D48" t="s">
        <v>16</v>
      </c>
      <c r="E48">
        <v>159</v>
      </c>
      <c r="F48">
        <v>3811</v>
      </c>
      <c r="G48">
        <f t="shared" si="1"/>
        <v>605949</v>
      </c>
    </row>
    <row r="49" spans="1:7" x14ac:dyDescent="0.3">
      <c r="A49" s="1">
        <v>45706</v>
      </c>
      <c r="B49" t="s">
        <v>12</v>
      </c>
      <c r="C49" t="s">
        <v>10</v>
      </c>
      <c r="D49" t="s">
        <v>9</v>
      </c>
      <c r="E49">
        <v>138</v>
      </c>
      <c r="F49">
        <v>2324</v>
      </c>
      <c r="G49">
        <f t="shared" si="1"/>
        <v>320712</v>
      </c>
    </row>
    <row r="50" spans="1:7" x14ac:dyDescent="0.3">
      <c r="A50" s="1">
        <v>45707</v>
      </c>
      <c r="B50" t="s">
        <v>22</v>
      </c>
      <c r="C50" t="s">
        <v>15</v>
      </c>
      <c r="D50" t="s">
        <v>16</v>
      </c>
      <c r="E50">
        <v>119</v>
      </c>
      <c r="F50">
        <v>3946</v>
      </c>
      <c r="G50">
        <f t="shared" si="1"/>
        <v>469574</v>
      </c>
    </row>
    <row r="51" spans="1:7" x14ac:dyDescent="0.3">
      <c r="A51" s="1">
        <v>45708</v>
      </c>
      <c r="B51" t="s">
        <v>19</v>
      </c>
      <c r="C51" t="s">
        <v>8</v>
      </c>
      <c r="D51" t="s">
        <v>20</v>
      </c>
      <c r="E51">
        <v>139</v>
      </c>
      <c r="F51">
        <v>4868</v>
      </c>
      <c r="G51">
        <f t="shared" si="1"/>
        <v>676652</v>
      </c>
    </row>
    <row r="52" spans="1:7" x14ac:dyDescent="0.3">
      <c r="A52" s="1">
        <v>45709</v>
      </c>
      <c r="B52" t="s">
        <v>18</v>
      </c>
      <c r="C52" t="s">
        <v>8</v>
      </c>
      <c r="D52" t="s">
        <v>16</v>
      </c>
      <c r="E52">
        <v>172</v>
      </c>
      <c r="F52">
        <v>3611</v>
      </c>
      <c r="G52">
        <f t="shared" si="1"/>
        <v>621092</v>
      </c>
    </row>
    <row r="53" spans="1:7" x14ac:dyDescent="0.3">
      <c r="A53" s="1">
        <v>45710</v>
      </c>
      <c r="B53" t="s">
        <v>7</v>
      </c>
      <c r="C53" t="s">
        <v>13</v>
      </c>
      <c r="D53" t="s">
        <v>20</v>
      </c>
      <c r="E53">
        <v>192</v>
      </c>
      <c r="F53">
        <v>4878</v>
      </c>
      <c r="G53">
        <f t="shared" si="1"/>
        <v>936576</v>
      </c>
    </row>
    <row r="54" spans="1:7" x14ac:dyDescent="0.3">
      <c r="A54" s="1">
        <v>45711</v>
      </c>
      <c r="B54" t="s">
        <v>7</v>
      </c>
      <c r="C54" t="s">
        <v>8</v>
      </c>
      <c r="D54" t="s">
        <v>16</v>
      </c>
      <c r="E54">
        <v>33</v>
      </c>
      <c r="F54">
        <v>2000</v>
      </c>
      <c r="G54">
        <f t="shared" si="1"/>
        <v>66000</v>
      </c>
    </row>
    <row r="55" spans="1:7" x14ac:dyDescent="0.3">
      <c r="A55" s="1">
        <v>45712</v>
      </c>
      <c r="B55" t="s">
        <v>14</v>
      </c>
      <c r="C55" t="s">
        <v>13</v>
      </c>
      <c r="D55" t="s">
        <v>20</v>
      </c>
      <c r="E55">
        <v>170</v>
      </c>
      <c r="F55">
        <v>725</v>
      </c>
      <c r="G55">
        <f t="shared" si="1"/>
        <v>123250</v>
      </c>
    </row>
    <row r="56" spans="1:7" x14ac:dyDescent="0.3">
      <c r="A56" s="1">
        <v>45713</v>
      </c>
      <c r="B56" t="s">
        <v>18</v>
      </c>
      <c r="C56" t="s">
        <v>10</v>
      </c>
      <c r="D56" t="s">
        <v>9</v>
      </c>
      <c r="E56">
        <v>46</v>
      </c>
      <c r="F56">
        <v>4883</v>
      </c>
      <c r="G56">
        <f t="shared" si="1"/>
        <v>224618</v>
      </c>
    </row>
    <row r="57" spans="1:7" x14ac:dyDescent="0.3">
      <c r="A57" s="1">
        <v>45714</v>
      </c>
      <c r="B57" t="s">
        <v>22</v>
      </c>
      <c r="C57" t="s">
        <v>8</v>
      </c>
      <c r="D57" t="s">
        <v>9</v>
      </c>
      <c r="E57">
        <v>185</v>
      </c>
      <c r="F57">
        <v>1057</v>
      </c>
      <c r="G57">
        <f t="shared" si="1"/>
        <v>195545</v>
      </c>
    </row>
    <row r="58" spans="1:7" x14ac:dyDescent="0.3">
      <c r="A58" s="1">
        <v>45715</v>
      </c>
      <c r="B58" t="s">
        <v>21</v>
      </c>
      <c r="C58" t="s">
        <v>8</v>
      </c>
      <c r="D58" t="s">
        <v>11</v>
      </c>
      <c r="E58">
        <v>47</v>
      </c>
      <c r="F58">
        <v>1112</v>
      </c>
      <c r="G58">
        <f t="shared" si="1"/>
        <v>52264</v>
      </c>
    </row>
    <row r="59" spans="1:7" x14ac:dyDescent="0.3">
      <c r="A59" s="1">
        <v>45716</v>
      </c>
      <c r="B59" t="s">
        <v>12</v>
      </c>
      <c r="C59" t="s">
        <v>8</v>
      </c>
      <c r="D59" t="s">
        <v>20</v>
      </c>
      <c r="E59">
        <v>92</v>
      </c>
      <c r="F59">
        <v>1192</v>
      </c>
      <c r="G59">
        <f t="shared" si="1"/>
        <v>109664</v>
      </c>
    </row>
    <row r="60" spans="1:7" x14ac:dyDescent="0.3">
      <c r="A60" s="1">
        <v>45717</v>
      </c>
      <c r="B60" t="s">
        <v>19</v>
      </c>
      <c r="C60" t="s">
        <v>8</v>
      </c>
      <c r="D60" t="s">
        <v>20</v>
      </c>
      <c r="E60">
        <v>6</v>
      </c>
      <c r="F60">
        <v>3923</v>
      </c>
      <c r="G60">
        <f t="shared" si="1"/>
        <v>23538</v>
      </c>
    </row>
    <row r="61" spans="1:7" x14ac:dyDescent="0.3">
      <c r="A61" s="1">
        <v>45718</v>
      </c>
      <c r="B61" t="s">
        <v>22</v>
      </c>
      <c r="C61" t="s">
        <v>10</v>
      </c>
      <c r="D61" t="s">
        <v>11</v>
      </c>
      <c r="E61">
        <v>101</v>
      </c>
      <c r="F61">
        <v>1177</v>
      </c>
      <c r="G61">
        <f t="shared" si="1"/>
        <v>118877</v>
      </c>
    </row>
    <row r="62" spans="1:7" x14ac:dyDescent="0.3">
      <c r="A62" s="1">
        <v>45719</v>
      </c>
      <c r="B62" t="s">
        <v>22</v>
      </c>
      <c r="C62" t="s">
        <v>8</v>
      </c>
      <c r="D62" t="s">
        <v>9</v>
      </c>
      <c r="E62">
        <v>121</v>
      </c>
      <c r="F62">
        <v>574</v>
      </c>
      <c r="G62">
        <f t="shared" si="1"/>
        <v>69454</v>
      </c>
    </row>
    <row r="63" spans="1:7" x14ac:dyDescent="0.3">
      <c r="A63" s="1">
        <v>45720</v>
      </c>
      <c r="B63" t="s">
        <v>12</v>
      </c>
      <c r="C63" t="s">
        <v>10</v>
      </c>
      <c r="D63" t="s">
        <v>9</v>
      </c>
      <c r="E63">
        <v>120</v>
      </c>
      <c r="F63">
        <v>549</v>
      </c>
      <c r="G63">
        <f t="shared" si="1"/>
        <v>65880</v>
      </c>
    </row>
    <row r="64" spans="1:7" x14ac:dyDescent="0.3">
      <c r="A64" s="1">
        <v>45721</v>
      </c>
      <c r="B64" t="s">
        <v>12</v>
      </c>
      <c r="C64" t="s">
        <v>10</v>
      </c>
      <c r="D64" t="s">
        <v>9</v>
      </c>
      <c r="E64">
        <v>120</v>
      </c>
      <c r="F64">
        <v>2281</v>
      </c>
      <c r="G64">
        <f t="shared" si="1"/>
        <v>273720</v>
      </c>
    </row>
    <row r="65" spans="1:7" x14ac:dyDescent="0.3">
      <c r="A65" s="1">
        <v>45722</v>
      </c>
      <c r="B65" t="s">
        <v>19</v>
      </c>
      <c r="C65" t="s">
        <v>8</v>
      </c>
      <c r="D65" t="s">
        <v>9</v>
      </c>
      <c r="E65">
        <v>12</v>
      </c>
      <c r="F65">
        <v>3580</v>
      </c>
      <c r="G65">
        <f t="shared" si="1"/>
        <v>42960</v>
      </c>
    </row>
    <row r="66" spans="1:7" x14ac:dyDescent="0.3">
      <c r="A66" s="1">
        <v>45723</v>
      </c>
      <c r="B66" t="s">
        <v>18</v>
      </c>
      <c r="C66" t="s">
        <v>10</v>
      </c>
      <c r="D66" t="s">
        <v>9</v>
      </c>
      <c r="E66">
        <v>86</v>
      </c>
      <c r="F66">
        <v>1608</v>
      </c>
      <c r="G66">
        <f t="shared" ref="G66:G97" si="2">E66*F66</f>
        <v>138288</v>
      </c>
    </row>
    <row r="67" spans="1:7" x14ac:dyDescent="0.3">
      <c r="A67" s="1">
        <v>45724</v>
      </c>
      <c r="B67" t="s">
        <v>12</v>
      </c>
      <c r="C67" t="s">
        <v>15</v>
      </c>
      <c r="D67" t="s">
        <v>16</v>
      </c>
      <c r="E67">
        <v>28</v>
      </c>
      <c r="F67">
        <v>751</v>
      </c>
      <c r="G67">
        <f t="shared" si="2"/>
        <v>21028</v>
      </c>
    </row>
    <row r="68" spans="1:7" x14ac:dyDescent="0.3">
      <c r="A68" s="1">
        <v>45725</v>
      </c>
      <c r="B68" t="s">
        <v>12</v>
      </c>
      <c r="C68" t="s">
        <v>8</v>
      </c>
      <c r="D68" t="s">
        <v>20</v>
      </c>
      <c r="E68">
        <v>79</v>
      </c>
      <c r="F68">
        <v>2133</v>
      </c>
      <c r="G68">
        <f t="shared" si="2"/>
        <v>168507</v>
      </c>
    </row>
    <row r="69" spans="1:7" x14ac:dyDescent="0.3">
      <c r="A69" s="1">
        <v>45726</v>
      </c>
      <c r="B69" t="s">
        <v>18</v>
      </c>
      <c r="C69" t="s">
        <v>13</v>
      </c>
      <c r="D69" t="s">
        <v>11</v>
      </c>
      <c r="E69">
        <v>76</v>
      </c>
      <c r="F69">
        <v>4235</v>
      </c>
      <c r="G69">
        <f t="shared" si="2"/>
        <v>321860</v>
      </c>
    </row>
    <row r="70" spans="1:7" x14ac:dyDescent="0.3">
      <c r="A70" s="1">
        <v>45727</v>
      </c>
      <c r="B70" t="s">
        <v>7</v>
      </c>
      <c r="C70" t="s">
        <v>15</v>
      </c>
      <c r="D70" t="s">
        <v>20</v>
      </c>
      <c r="E70">
        <v>190</v>
      </c>
      <c r="F70">
        <v>2288</v>
      </c>
      <c r="G70">
        <f t="shared" si="2"/>
        <v>434720</v>
      </c>
    </row>
    <row r="71" spans="1:7" x14ac:dyDescent="0.3">
      <c r="A71" s="1">
        <v>45728</v>
      </c>
      <c r="B71" t="s">
        <v>7</v>
      </c>
      <c r="C71" t="s">
        <v>15</v>
      </c>
      <c r="D71" t="s">
        <v>11</v>
      </c>
      <c r="E71">
        <v>102</v>
      </c>
      <c r="F71">
        <v>512</v>
      </c>
      <c r="G71">
        <f t="shared" si="2"/>
        <v>52224</v>
      </c>
    </row>
    <row r="72" spans="1:7" x14ac:dyDescent="0.3">
      <c r="A72" s="1">
        <v>45729</v>
      </c>
      <c r="B72" t="s">
        <v>21</v>
      </c>
      <c r="C72" t="s">
        <v>13</v>
      </c>
      <c r="D72" t="s">
        <v>16</v>
      </c>
      <c r="E72">
        <v>176</v>
      </c>
      <c r="F72">
        <v>1571</v>
      </c>
      <c r="G72">
        <f t="shared" si="2"/>
        <v>276496</v>
      </c>
    </row>
    <row r="73" spans="1:7" x14ac:dyDescent="0.3">
      <c r="A73" s="1">
        <v>45730</v>
      </c>
      <c r="B73" t="s">
        <v>7</v>
      </c>
      <c r="C73" t="s">
        <v>8</v>
      </c>
      <c r="D73" t="s">
        <v>20</v>
      </c>
      <c r="E73">
        <v>179</v>
      </c>
      <c r="F73">
        <v>860</v>
      </c>
      <c r="G73">
        <f t="shared" si="2"/>
        <v>153940</v>
      </c>
    </row>
    <row r="74" spans="1:7" x14ac:dyDescent="0.3">
      <c r="A74" s="1">
        <v>45731</v>
      </c>
      <c r="B74" t="s">
        <v>19</v>
      </c>
      <c r="C74" t="s">
        <v>13</v>
      </c>
      <c r="D74" t="s">
        <v>20</v>
      </c>
      <c r="E74">
        <v>89</v>
      </c>
      <c r="F74">
        <v>4324</v>
      </c>
      <c r="G74">
        <f t="shared" si="2"/>
        <v>384836</v>
      </c>
    </row>
    <row r="75" spans="1:7" x14ac:dyDescent="0.3">
      <c r="A75" s="1">
        <v>45732</v>
      </c>
      <c r="B75" t="s">
        <v>12</v>
      </c>
      <c r="C75" t="s">
        <v>13</v>
      </c>
      <c r="D75" t="s">
        <v>20</v>
      </c>
      <c r="E75">
        <v>10</v>
      </c>
      <c r="F75">
        <v>4139</v>
      </c>
      <c r="G75">
        <f t="shared" si="2"/>
        <v>41390</v>
      </c>
    </row>
    <row r="76" spans="1:7" x14ac:dyDescent="0.3">
      <c r="A76" s="1">
        <v>45733</v>
      </c>
      <c r="B76" t="s">
        <v>17</v>
      </c>
      <c r="C76" t="s">
        <v>8</v>
      </c>
      <c r="D76" t="s">
        <v>16</v>
      </c>
      <c r="E76">
        <v>79</v>
      </c>
      <c r="F76">
        <v>3594</v>
      </c>
      <c r="G76">
        <f t="shared" si="2"/>
        <v>283926</v>
      </c>
    </row>
    <row r="77" spans="1:7" x14ac:dyDescent="0.3">
      <c r="A77" s="1">
        <v>45734</v>
      </c>
      <c r="B77" t="s">
        <v>7</v>
      </c>
      <c r="C77" t="s">
        <v>10</v>
      </c>
      <c r="D77" t="s">
        <v>11</v>
      </c>
      <c r="E77">
        <v>149</v>
      </c>
      <c r="F77">
        <v>4362</v>
      </c>
      <c r="G77">
        <f t="shared" si="2"/>
        <v>649938</v>
      </c>
    </row>
    <row r="78" spans="1:7" x14ac:dyDescent="0.3">
      <c r="A78" s="1">
        <v>45735</v>
      </c>
      <c r="B78" t="s">
        <v>19</v>
      </c>
      <c r="C78" t="s">
        <v>15</v>
      </c>
      <c r="D78" t="s">
        <v>16</v>
      </c>
      <c r="E78">
        <v>155</v>
      </c>
      <c r="F78">
        <v>3081</v>
      </c>
      <c r="G78">
        <f t="shared" si="2"/>
        <v>477555</v>
      </c>
    </row>
    <row r="79" spans="1:7" x14ac:dyDescent="0.3">
      <c r="A79" s="1">
        <v>45736</v>
      </c>
      <c r="B79" t="s">
        <v>21</v>
      </c>
      <c r="C79" t="s">
        <v>13</v>
      </c>
      <c r="D79" t="s">
        <v>11</v>
      </c>
      <c r="E79">
        <v>21</v>
      </c>
      <c r="F79">
        <v>749</v>
      </c>
      <c r="G79">
        <f t="shared" si="2"/>
        <v>15729</v>
      </c>
    </row>
    <row r="80" spans="1:7" x14ac:dyDescent="0.3">
      <c r="A80" s="1">
        <v>45737</v>
      </c>
      <c r="B80" t="s">
        <v>21</v>
      </c>
      <c r="C80" t="s">
        <v>13</v>
      </c>
      <c r="D80" t="s">
        <v>11</v>
      </c>
      <c r="E80">
        <v>26</v>
      </c>
      <c r="F80">
        <v>1250</v>
      </c>
      <c r="G80">
        <f t="shared" si="2"/>
        <v>32500</v>
      </c>
    </row>
    <row r="81" spans="1:7" x14ac:dyDescent="0.3">
      <c r="A81" s="1">
        <v>45738</v>
      </c>
      <c r="B81" t="s">
        <v>7</v>
      </c>
      <c r="C81" t="s">
        <v>15</v>
      </c>
      <c r="D81" t="s">
        <v>11</v>
      </c>
      <c r="E81">
        <v>138</v>
      </c>
      <c r="F81">
        <v>4978</v>
      </c>
      <c r="G81">
        <f t="shared" si="2"/>
        <v>686964</v>
      </c>
    </row>
    <row r="82" spans="1:7" x14ac:dyDescent="0.3">
      <c r="A82" s="1">
        <v>45739</v>
      </c>
      <c r="B82" t="s">
        <v>18</v>
      </c>
      <c r="C82" t="s">
        <v>10</v>
      </c>
      <c r="D82" t="s">
        <v>20</v>
      </c>
      <c r="E82">
        <v>200</v>
      </c>
      <c r="F82">
        <v>1433</v>
      </c>
      <c r="G82">
        <f t="shared" si="2"/>
        <v>286600</v>
      </c>
    </row>
    <row r="83" spans="1:7" x14ac:dyDescent="0.3">
      <c r="A83" s="1">
        <v>45740</v>
      </c>
      <c r="B83" t="s">
        <v>12</v>
      </c>
      <c r="C83" t="s">
        <v>13</v>
      </c>
      <c r="D83" t="s">
        <v>9</v>
      </c>
      <c r="E83">
        <v>96</v>
      </c>
      <c r="F83">
        <v>3267</v>
      </c>
      <c r="G83">
        <f t="shared" si="2"/>
        <v>313632</v>
      </c>
    </row>
    <row r="84" spans="1:7" x14ac:dyDescent="0.3">
      <c r="A84" s="1">
        <v>45741</v>
      </c>
      <c r="B84" t="s">
        <v>12</v>
      </c>
      <c r="C84" t="s">
        <v>15</v>
      </c>
      <c r="D84" t="s">
        <v>20</v>
      </c>
      <c r="E84">
        <v>90</v>
      </c>
      <c r="F84">
        <v>4740</v>
      </c>
      <c r="G84">
        <f t="shared" si="2"/>
        <v>426600</v>
      </c>
    </row>
    <row r="85" spans="1:7" x14ac:dyDescent="0.3">
      <c r="A85" s="1">
        <v>45742</v>
      </c>
      <c r="B85" t="s">
        <v>12</v>
      </c>
      <c r="C85" t="s">
        <v>13</v>
      </c>
      <c r="D85" t="s">
        <v>16</v>
      </c>
      <c r="E85">
        <v>149</v>
      </c>
      <c r="F85">
        <v>1858</v>
      </c>
      <c r="G85">
        <f t="shared" si="2"/>
        <v>276842</v>
      </c>
    </row>
    <row r="86" spans="1:7" x14ac:dyDescent="0.3">
      <c r="A86" s="1">
        <v>45743</v>
      </c>
      <c r="B86" t="s">
        <v>7</v>
      </c>
      <c r="C86" t="s">
        <v>8</v>
      </c>
      <c r="D86" t="s">
        <v>11</v>
      </c>
      <c r="E86">
        <v>62</v>
      </c>
      <c r="F86">
        <v>1086</v>
      </c>
      <c r="G86">
        <f t="shared" si="2"/>
        <v>67332</v>
      </c>
    </row>
    <row r="87" spans="1:7" x14ac:dyDescent="0.3">
      <c r="A87" s="1">
        <v>45744</v>
      </c>
      <c r="B87" t="s">
        <v>18</v>
      </c>
      <c r="C87" t="s">
        <v>15</v>
      </c>
      <c r="D87" t="s">
        <v>11</v>
      </c>
      <c r="E87">
        <v>84</v>
      </c>
      <c r="F87">
        <v>3325</v>
      </c>
      <c r="G87">
        <f t="shared" si="2"/>
        <v>279300</v>
      </c>
    </row>
    <row r="88" spans="1:7" x14ac:dyDescent="0.3">
      <c r="A88" s="1">
        <v>45745</v>
      </c>
      <c r="B88" t="s">
        <v>14</v>
      </c>
      <c r="C88" t="s">
        <v>10</v>
      </c>
      <c r="D88" t="s">
        <v>11</v>
      </c>
      <c r="E88">
        <v>72</v>
      </c>
      <c r="F88">
        <v>1962</v>
      </c>
      <c r="G88">
        <f t="shared" si="2"/>
        <v>141264</v>
      </c>
    </row>
    <row r="89" spans="1:7" x14ac:dyDescent="0.3">
      <c r="A89" s="1">
        <v>45746</v>
      </c>
      <c r="B89" t="s">
        <v>21</v>
      </c>
      <c r="C89" t="s">
        <v>8</v>
      </c>
      <c r="D89" t="s">
        <v>16</v>
      </c>
      <c r="E89">
        <v>21</v>
      </c>
      <c r="F89">
        <v>1874</v>
      </c>
      <c r="G89">
        <f t="shared" si="2"/>
        <v>39354</v>
      </c>
    </row>
    <row r="90" spans="1:7" x14ac:dyDescent="0.3">
      <c r="A90" s="1">
        <v>45747</v>
      </c>
      <c r="B90" t="s">
        <v>22</v>
      </c>
      <c r="C90" t="s">
        <v>8</v>
      </c>
      <c r="D90" t="s">
        <v>9</v>
      </c>
      <c r="E90">
        <v>97</v>
      </c>
      <c r="F90">
        <v>2508</v>
      </c>
      <c r="G90">
        <f t="shared" si="2"/>
        <v>243276</v>
      </c>
    </row>
    <row r="91" spans="1:7" x14ac:dyDescent="0.3">
      <c r="A91" s="1">
        <v>45748</v>
      </c>
      <c r="B91" t="s">
        <v>12</v>
      </c>
      <c r="C91" t="s">
        <v>15</v>
      </c>
      <c r="D91" t="s">
        <v>16</v>
      </c>
      <c r="E91">
        <v>176</v>
      </c>
      <c r="F91">
        <v>1283</v>
      </c>
      <c r="G91">
        <f t="shared" si="2"/>
        <v>225808</v>
      </c>
    </row>
    <row r="92" spans="1:7" x14ac:dyDescent="0.3">
      <c r="A92" s="1">
        <v>45749</v>
      </c>
      <c r="B92" t="s">
        <v>17</v>
      </c>
      <c r="C92" t="s">
        <v>10</v>
      </c>
      <c r="D92" t="s">
        <v>20</v>
      </c>
      <c r="E92">
        <v>52</v>
      </c>
      <c r="F92">
        <v>988</v>
      </c>
      <c r="G92">
        <f t="shared" si="2"/>
        <v>51376</v>
      </c>
    </row>
    <row r="93" spans="1:7" x14ac:dyDescent="0.3">
      <c r="A93" s="1">
        <v>45750</v>
      </c>
      <c r="B93" t="s">
        <v>18</v>
      </c>
      <c r="C93" t="s">
        <v>10</v>
      </c>
      <c r="D93" t="s">
        <v>20</v>
      </c>
      <c r="E93">
        <v>172</v>
      </c>
      <c r="F93">
        <v>3267</v>
      </c>
      <c r="G93">
        <f t="shared" si="2"/>
        <v>561924</v>
      </c>
    </row>
    <row r="94" spans="1:7" x14ac:dyDescent="0.3">
      <c r="A94" s="1">
        <v>45751</v>
      </c>
      <c r="B94" t="s">
        <v>19</v>
      </c>
      <c r="C94" t="s">
        <v>8</v>
      </c>
      <c r="D94" t="s">
        <v>9</v>
      </c>
      <c r="E94">
        <v>46</v>
      </c>
      <c r="F94">
        <v>3288</v>
      </c>
      <c r="G94">
        <f t="shared" si="2"/>
        <v>151248</v>
      </c>
    </row>
    <row r="95" spans="1:7" x14ac:dyDescent="0.3">
      <c r="A95" s="1">
        <v>45752</v>
      </c>
      <c r="B95" t="s">
        <v>14</v>
      </c>
      <c r="C95" t="s">
        <v>15</v>
      </c>
      <c r="D95" t="s">
        <v>20</v>
      </c>
      <c r="E95">
        <v>134</v>
      </c>
      <c r="F95">
        <v>4375</v>
      </c>
      <c r="G95">
        <f t="shared" si="2"/>
        <v>586250</v>
      </c>
    </row>
    <row r="96" spans="1:7" x14ac:dyDescent="0.3">
      <c r="A96" s="1">
        <v>45753</v>
      </c>
      <c r="B96" t="s">
        <v>14</v>
      </c>
      <c r="C96" t="s">
        <v>15</v>
      </c>
      <c r="D96" t="s">
        <v>16</v>
      </c>
      <c r="E96">
        <v>104</v>
      </c>
      <c r="F96">
        <v>4182</v>
      </c>
      <c r="G96">
        <f t="shared" si="2"/>
        <v>434928</v>
      </c>
    </row>
    <row r="97" spans="1:7" x14ac:dyDescent="0.3">
      <c r="A97" s="1">
        <v>45754</v>
      </c>
      <c r="B97" t="s">
        <v>12</v>
      </c>
      <c r="C97" t="s">
        <v>15</v>
      </c>
      <c r="D97" t="s">
        <v>11</v>
      </c>
      <c r="E97">
        <v>111</v>
      </c>
      <c r="F97">
        <v>2513</v>
      </c>
      <c r="G97">
        <f t="shared" si="2"/>
        <v>278943</v>
      </c>
    </row>
    <row r="98" spans="1:7" x14ac:dyDescent="0.3">
      <c r="A98" s="1">
        <v>45755</v>
      </c>
      <c r="B98" t="s">
        <v>18</v>
      </c>
      <c r="C98" t="s">
        <v>13</v>
      </c>
      <c r="D98" t="s">
        <v>9</v>
      </c>
      <c r="E98">
        <v>196</v>
      </c>
      <c r="F98">
        <v>4182</v>
      </c>
      <c r="G98">
        <f t="shared" ref="G98:G121" si="3">E98*F98</f>
        <v>819672</v>
      </c>
    </row>
    <row r="99" spans="1:7" x14ac:dyDescent="0.3">
      <c r="A99" s="1">
        <v>45756</v>
      </c>
      <c r="B99" t="s">
        <v>17</v>
      </c>
      <c r="C99" t="s">
        <v>10</v>
      </c>
      <c r="D99" t="s">
        <v>11</v>
      </c>
      <c r="E99">
        <v>194</v>
      </c>
      <c r="F99">
        <v>4368</v>
      </c>
      <c r="G99">
        <f t="shared" si="3"/>
        <v>847392</v>
      </c>
    </row>
    <row r="100" spans="1:7" x14ac:dyDescent="0.3">
      <c r="A100" s="1">
        <v>45757</v>
      </c>
      <c r="B100" t="s">
        <v>17</v>
      </c>
      <c r="C100" t="s">
        <v>15</v>
      </c>
      <c r="D100" t="s">
        <v>20</v>
      </c>
      <c r="E100">
        <v>75</v>
      </c>
      <c r="F100">
        <v>2007</v>
      </c>
      <c r="G100">
        <f t="shared" si="3"/>
        <v>150525</v>
      </c>
    </row>
    <row r="101" spans="1:7" x14ac:dyDescent="0.3">
      <c r="A101" s="1">
        <v>45758</v>
      </c>
      <c r="B101" t="s">
        <v>7</v>
      </c>
      <c r="C101" t="s">
        <v>8</v>
      </c>
      <c r="D101" t="s">
        <v>11</v>
      </c>
      <c r="E101">
        <v>163</v>
      </c>
      <c r="F101">
        <v>4389</v>
      </c>
      <c r="G101">
        <f t="shared" si="3"/>
        <v>715407</v>
      </c>
    </row>
    <row r="102" spans="1:7" x14ac:dyDescent="0.3">
      <c r="A102" s="1">
        <v>45759</v>
      </c>
      <c r="B102" t="s">
        <v>22</v>
      </c>
      <c r="C102" t="s">
        <v>13</v>
      </c>
      <c r="D102" t="s">
        <v>9</v>
      </c>
      <c r="E102">
        <v>184</v>
      </c>
      <c r="F102">
        <v>3624</v>
      </c>
      <c r="G102">
        <f t="shared" si="3"/>
        <v>666816</v>
      </c>
    </row>
    <row r="103" spans="1:7" x14ac:dyDescent="0.3">
      <c r="A103" s="1">
        <v>45760</v>
      </c>
      <c r="B103" t="s">
        <v>21</v>
      </c>
      <c r="C103" t="s">
        <v>13</v>
      </c>
      <c r="D103" t="s">
        <v>20</v>
      </c>
      <c r="E103">
        <v>6</v>
      </c>
      <c r="F103">
        <v>632</v>
      </c>
      <c r="G103">
        <f t="shared" si="3"/>
        <v>3792</v>
      </c>
    </row>
    <row r="104" spans="1:7" x14ac:dyDescent="0.3">
      <c r="A104" s="1">
        <v>45761</v>
      </c>
      <c r="B104" t="s">
        <v>7</v>
      </c>
      <c r="C104" t="s">
        <v>10</v>
      </c>
      <c r="D104" t="s">
        <v>20</v>
      </c>
      <c r="E104">
        <v>158</v>
      </c>
      <c r="F104">
        <v>1527</v>
      </c>
      <c r="G104">
        <f t="shared" si="3"/>
        <v>241266</v>
      </c>
    </row>
    <row r="105" spans="1:7" x14ac:dyDescent="0.3">
      <c r="A105" s="1">
        <v>45762</v>
      </c>
      <c r="B105" t="s">
        <v>18</v>
      </c>
      <c r="C105" t="s">
        <v>15</v>
      </c>
      <c r="D105" t="s">
        <v>16</v>
      </c>
      <c r="E105">
        <v>53</v>
      </c>
      <c r="F105">
        <v>2272</v>
      </c>
      <c r="G105">
        <f t="shared" si="3"/>
        <v>120416</v>
      </c>
    </row>
    <row r="106" spans="1:7" x14ac:dyDescent="0.3">
      <c r="A106" s="1">
        <v>45763</v>
      </c>
      <c r="B106" t="s">
        <v>22</v>
      </c>
      <c r="C106" t="s">
        <v>13</v>
      </c>
      <c r="D106" t="s">
        <v>20</v>
      </c>
      <c r="E106">
        <v>179</v>
      </c>
      <c r="F106">
        <v>2645</v>
      </c>
      <c r="G106">
        <f t="shared" si="3"/>
        <v>473455</v>
      </c>
    </row>
    <row r="107" spans="1:7" x14ac:dyDescent="0.3">
      <c r="A107" s="1">
        <v>45764</v>
      </c>
      <c r="B107" t="s">
        <v>19</v>
      </c>
      <c r="C107" t="s">
        <v>10</v>
      </c>
      <c r="D107" t="s">
        <v>20</v>
      </c>
      <c r="E107">
        <v>110</v>
      </c>
      <c r="F107">
        <v>1554</v>
      </c>
      <c r="G107">
        <f t="shared" si="3"/>
        <v>170940</v>
      </c>
    </row>
    <row r="108" spans="1:7" x14ac:dyDescent="0.3">
      <c r="A108" s="1">
        <v>45765</v>
      </c>
      <c r="B108" t="s">
        <v>7</v>
      </c>
      <c r="C108" t="s">
        <v>13</v>
      </c>
      <c r="D108" t="s">
        <v>16</v>
      </c>
      <c r="E108">
        <v>97</v>
      </c>
      <c r="F108">
        <v>4839</v>
      </c>
      <c r="G108">
        <f t="shared" si="3"/>
        <v>469383</v>
      </c>
    </row>
    <row r="109" spans="1:7" x14ac:dyDescent="0.3">
      <c r="A109" s="1">
        <v>45766</v>
      </c>
      <c r="B109" t="s">
        <v>19</v>
      </c>
      <c r="C109" t="s">
        <v>8</v>
      </c>
      <c r="D109" t="s">
        <v>9</v>
      </c>
      <c r="E109">
        <v>155</v>
      </c>
      <c r="F109">
        <v>3941</v>
      </c>
      <c r="G109">
        <f t="shared" si="3"/>
        <v>610855</v>
      </c>
    </row>
    <row r="110" spans="1:7" x14ac:dyDescent="0.3">
      <c r="A110" s="1">
        <v>45767</v>
      </c>
      <c r="B110" t="s">
        <v>14</v>
      </c>
      <c r="C110" t="s">
        <v>15</v>
      </c>
      <c r="D110" t="s">
        <v>16</v>
      </c>
      <c r="E110">
        <v>152</v>
      </c>
      <c r="F110">
        <v>637</v>
      </c>
      <c r="G110">
        <f t="shared" si="3"/>
        <v>96824</v>
      </c>
    </row>
    <row r="111" spans="1:7" x14ac:dyDescent="0.3">
      <c r="A111" s="1">
        <v>45768</v>
      </c>
      <c r="B111" t="s">
        <v>14</v>
      </c>
      <c r="C111" t="s">
        <v>10</v>
      </c>
      <c r="D111" t="s">
        <v>11</v>
      </c>
      <c r="E111">
        <v>17</v>
      </c>
      <c r="F111">
        <v>3568</v>
      </c>
      <c r="G111">
        <f t="shared" si="3"/>
        <v>60656</v>
      </c>
    </row>
    <row r="112" spans="1:7" x14ac:dyDescent="0.3">
      <c r="A112" s="1">
        <v>45769</v>
      </c>
      <c r="B112" t="s">
        <v>22</v>
      </c>
      <c r="C112" t="s">
        <v>8</v>
      </c>
      <c r="D112" t="s">
        <v>16</v>
      </c>
      <c r="E112">
        <v>25</v>
      </c>
      <c r="F112">
        <v>2724</v>
      </c>
      <c r="G112">
        <f t="shared" si="3"/>
        <v>68100</v>
      </c>
    </row>
    <row r="113" spans="1:7" x14ac:dyDescent="0.3">
      <c r="A113" s="1">
        <v>45770</v>
      </c>
      <c r="B113" t="s">
        <v>21</v>
      </c>
      <c r="C113" t="s">
        <v>8</v>
      </c>
      <c r="D113" t="s">
        <v>16</v>
      </c>
      <c r="E113">
        <v>87</v>
      </c>
      <c r="F113">
        <v>3971</v>
      </c>
      <c r="G113">
        <f t="shared" si="3"/>
        <v>345477</v>
      </c>
    </row>
    <row r="114" spans="1:7" x14ac:dyDescent="0.3">
      <c r="A114" s="1">
        <v>45771</v>
      </c>
      <c r="B114" t="s">
        <v>18</v>
      </c>
      <c r="C114" t="s">
        <v>15</v>
      </c>
      <c r="D114" t="s">
        <v>11</v>
      </c>
      <c r="E114">
        <v>92</v>
      </c>
      <c r="F114">
        <v>1974</v>
      </c>
      <c r="G114">
        <f t="shared" si="3"/>
        <v>181608</v>
      </c>
    </row>
    <row r="115" spans="1:7" x14ac:dyDescent="0.3">
      <c r="A115" s="1">
        <v>45772</v>
      </c>
      <c r="B115" t="s">
        <v>7</v>
      </c>
      <c r="C115" t="s">
        <v>13</v>
      </c>
      <c r="D115" t="s">
        <v>16</v>
      </c>
      <c r="E115">
        <v>78</v>
      </c>
      <c r="F115">
        <v>677</v>
      </c>
      <c r="G115">
        <f t="shared" si="3"/>
        <v>52806</v>
      </c>
    </row>
    <row r="116" spans="1:7" x14ac:dyDescent="0.3">
      <c r="A116" s="1">
        <v>45773</v>
      </c>
      <c r="B116" t="s">
        <v>12</v>
      </c>
      <c r="C116" t="s">
        <v>8</v>
      </c>
      <c r="D116" t="s">
        <v>20</v>
      </c>
      <c r="E116">
        <v>70</v>
      </c>
      <c r="F116">
        <v>804</v>
      </c>
      <c r="G116">
        <f t="shared" si="3"/>
        <v>56280</v>
      </c>
    </row>
    <row r="117" spans="1:7" x14ac:dyDescent="0.3">
      <c r="A117" s="1">
        <v>45774</v>
      </c>
      <c r="B117" t="s">
        <v>12</v>
      </c>
      <c r="C117" t="s">
        <v>13</v>
      </c>
      <c r="D117" t="s">
        <v>20</v>
      </c>
      <c r="E117">
        <v>131</v>
      </c>
      <c r="F117">
        <v>2434</v>
      </c>
      <c r="G117">
        <f t="shared" si="3"/>
        <v>318854</v>
      </c>
    </row>
    <row r="118" spans="1:7" x14ac:dyDescent="0.3">
      <c r="A118" s="1">
        <v>45775</v>
      </c>
      <c r="B118" t="s">
        <v>12</v>
      </c>
      <c r="C118" t="s">
        <v>15</v>
      </c>
      <c r="D118" t="s">
        <v>9</v>
      </c>
      <c r="E118">
        <v>36</v>
      </c>
      <c r="F118">
        <v>2507</v>
      </c>
      <c r="G118">
        <f t="shared" si="3"/>
        <v>90252</v>
      </c>
    </row>
    <row r="119" spans="1:7" x14ac:dyDescent="0.3">
      <c r="A119" s="1">
        <v>45776</v>
      </c>
      <c r="B119" t="s">
        <v>17</v>
      </c>
      <c r="C119" t="s">
        <v>15</v>
      </c>
      <c r="D119" t="s">
        <v>11</v>
      </c>
      <c r="E119">
        <v>126</v>
      </c>
      <c r="F119">
        <v>2529</v>
      </c>
      <c r="G119">
        <f t="shared" si="3"/>
        <v>318654</v>
      </c>
    </row>
    <row r="120" spans="1:7" x14ac:dyDescent="0.3">
      <c r="A120" s="1">
        <v>45777</v>
      </c>
      <c r="B120" t="s">
        <v>18</v>
      </c>
      <c r="C120" t="s">
        <v>8</v>
      </c>
      <c r="D120" t="s">
        <v>11</v>
      </c>
      <c r="E120">
        <v>54</v>
      </c>
      <c r="F120">
        <v>4539</v>
      </c>
      <c r="G120">
        <f t="shared" si="3"/>
        <v>245106</v>
      </c>
    </row>
    <row r="121" spans="1:7" x14ac:dyDescent="0.3">
      <c r="A121" s="1">
        <v>45778</v>
      </c>
      <c r="B121" t="s">
        <v>22</v>
      </c>
      <c r="C121" t="s">
        <v>8</v>
      </c>
      <c r="D121" t="s">
        <v>11</v>
      </c>
      <c r="E121">
        <v>10</v>
      </c>
      <c r="F121">
        <v>2513</v>
      </c>
      <c r="G121">
        <f t="shared" si="3"/>
        <v>25130</v>
      </c>
    </row>
    <row r="130" spans="9:10" x14ac:dyDescent="0.3">
      <c r="I130" t="s">
        <v>34</v>
      </c>
    </row>
    <row r="131" spans="9:10" x14ac:dyDescent="0.3">
      <c r="I131" t="s">
        <v>24</v>
      </c>
      <c r="J131">
        <f>COUNTIF(C2:C121,"South")</f>
        <v>32</v>
      </c>
    </row>
    <row r="133" spans="9:10" x14ac:dyDescent="0.3">
      <c r="I133" t="s">
        <v>35</v>
      </c>
    </row>
    <row r="134" spans="9:10" x14ac:dyDescent="0.3">
      <c r="I134" t="s">
        <v>24</v>
      </c>
      <c r="J134">
        <f>SUMIF(C2:C121,"East",G2:G121)</f>
        <v>10212273</v>
      </c>
    </row>
    <row r="136" spans="9:10" x14ac:dyDescent="0.3">
      <c r="I136" t="s">
        <v>36</v>
      </c>
    </row>
    <row r="137" spans="9:10" x14ac:dyDescent="0.3">
      <c r="I137" t="s">
        <v>24</v>
      </c>
      <c r="J137">
        <f>SUMIFS(G2:G121,C2:C121,"North",D2:D121,"Laptop")</f>
        <v>1783989</v>
      </c>
    </row>
    <row r="139" spans="9:10" x14ac:dyDescent="0.3">
      <c r="I139" t="s">
        <v>37</v>
      </c>
    </row>
    <row r="140" spans="9:10" x14ac:dyDescent="0.3">
      <c r="I140" t="s">
        <v>24</v>
      </c>
      <c r="J140">
        <f>COUNTIFS(C2:C121,"West",D2:D121,"Mobile")</f>
        <v>9</v>
      </c>
    </row>
    <row r="142" spans="9:10" x14ac:dyDescent="0.3">
      <c r="I142" t="s">
        <v>38</v>
      </c>
    </row>
    <row r="143" spans="9:10" x14ac:dyDescent="0.3">
      <c r="I143" t="s">
        <v>24</v>
      </c>
      <c r="J143">
        <f>_xlfn.MINIFS(G2:G121,C2:C121,"North")</f>
        <v>8464</v>
      </c>
    </row>
    <row r="145" spans="9:10" x14ac:dyDescent="0.3">
      <c r="I145" t="s">
        <v>39</v>
      </c>
    </row>
    <row r="146" spans="9:10" x14ac:dyDescent="0.3">
      <c r="I146" t="s">
        <v>24</v>
      </c>
      <c r="J146">
        <f>_xlfn.MAXIFS(G2:G121,C2:C121,"South")</f>
        <v>907400</v>
      </c>
    </row>
    <row r="148" spans="9:10" x14ac:dyDescent="0.3">
      <c r="I148" t="s">
        <v>40</v>
      </c>
    </row>
    <row r="149" spans="9:10" x14ac:dyDescent="0.3">
      <c r="I149" t="s">
        <v>24</v>
      </c>
      <c r="J149">
        <f>AVERAGEIF(C2:C121,"East",G2:G121)</f>
        <v>340409.1</v>
      </c>
    </row>
    <row r="151" spans="9:10" x14ac:dyDescent="0.3">
      <c r="I151" t="s">
        <v>41</v>
      </c>
    </row>
    <row r="152" spans="9:10" x14ac:dyDescent="0.3">
      <c r="I152" t="s">
        <v>24</v>
      </c>
      <c r="J152">
        <f>AVERAGEIFS(G2:G121,C2:C121,"North",D2:D121,"Laptop")</f>
        <v>222998.625</v>
      </c>
    </row>
    <row r="154" spans="9:10" x14ac:dyDescent="0.3">
      <c r="I154" t="s">
        <v>42</v>
      </c>
    </row>
    <row r="155" spans="9:10" x14ac:dyDescent="0.3">
      <c r="I155" t="s">
        <v>24</v>
      </c>
    </row>
    <row r="157" spans="9:10" x14ac:dyDescent="0.3">
      <c r="I157" t="s">
        <v>43</v>
      </c>
    </row>
    <row r="158" spans="9:10" x14ac:dyDescent="0.3">
      <c r="I158" t="s">
        <v>24</v>
      </c>
    </row>
  </sheetData>
  <conditionalFormatting sqref="J131">
    <cfRule type="expression" dxfId="19" priority="1">
      <formula>J131=J132</formula>
    </cfRule>
  </conditionalFormatting>
  <conditionalFormatting sqref="J134">
    <cfRule type="expression" dxfId="18" priority="2">
      <formula>J134=J135</formula>
    </cfRule>
  </conditionalFormatting>
  <conditionalFormatting sqref="J137">
    <cfRule type="expression" dxfId="17" priority="3">
      <formula>J137=J138</formula>
    </cfRule>
  </conditionalFormatting>
  <conditionalFormatting sqref="J140">
    <cfRule type="expression" dxfId="16" priority="4">
      <formula>J140=J141</formula>
    </cfRule>
  </conditionalFormatting>
  <conditionalFormatting sqref="J143">
    <cfRule type="expression" dxfId="15" priority="5">
      <formula>J143=J144</formula>
    </cfRule>
  </conditionalFormatting>
  <conditionalFormatting sqref="J146">
    <cfRule type="expression" dxfId="14" priority="6">
      <formula>J146=J147</formula>
    </cfRule>
  </conditionalFormatting>
  <conditionalFormatting sqref="J149">
    <cfRule type="expression" dxfId="13" priority="7">
      <formula>J149=J150</formula>
    </cfRule>
  </conditionalFormatting>
  <conditionalFormatting sqref="J152">
    <cfRule type="expression" dxfId="12" priority="8">
      <formula>J152=J153</formula>
    </cfRule>
  </conditionalFormatting>
  <conditionalFormatting sqref="J155">
    <cfRule type="expression" dxfId="11" priority="9">
      <formula>J155=J156</formula>
    </cfRule>
  </conditionalFormatting>
  <conditionalFormatting sqref="J158">
    <cfRule type="expression" dxfId="10" priority="10">
      <formula>J158=J159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topLeftCell="A18" workbookViewId="0">
      <selection activeCell="F44" sqref="F44"/>
    </sheetView>
  </sheetViews>
  <sheetFormatPr defaultRowHeight="14.4" x14ac:dyDescent="0.3"/>
  <cols>
    <col min="5" max="5" width="42.88671875" bestFit="1" customWidth="1"/>
  </cols>
  <sheetData>
    <row r="1" spans="1:6" x14ac:dyDescent="0.3">
      <c r="A1" t="s">
        <v>1</v>
      </c>
      <c r="B1" t="s">
        <v>2</v>
      </c>
      <c r="C1" t="s">
        <v>44</v>
      </c>
    </row>
    <row r="2" spans="1:6" x14ac:dyDescent="0.3">
      <c r="A2" t="s">
        <v>7</v>
      </c>
      <c r="B2" t="s">
        <v>15</v>
      </c>
      <c r="C2">
        <v>494885</v>
      </c>
    </row>
    <row r="3" spans="1:6" x14ac:dyDescent="0.3">
      <c r="A3" t="s">
        <v>12</v>
      </c>
      <c r="B3" t="s">
        <v>15</v>
      </c>
      <c r="C3">
        <v>340065</v>
      </c>
    </row>
    <row r="4" spans="1:6" x14ac:dyDescent="0.3">
      <c r="A4" t="s">
        <v>18</v>
      </c>
      <c r="B4" t="s">
        <v>8</v>
      </c>
      <c r="C4">
        <v>483468</v>
      </c>
    </row>
    <row r="5" spans="1:6" x14ac:dyDescent="0.3">
      <c r="A5" t="s">
        <v>19</v>
      </c>
      <c r="B5" t="s">
        <v>13</v>
      </c>
      <c r="C5">
        <v>320393</v>
      </c>
    </row>
    <row r="6" spans="1:6" x14ac:dyDescent="0.3">
      <c r="A6" t="s">
        <v>21</v>
      </c>
      <c r="B6" t="s">
        <v>8</v>
      </c>
      <c r="C6">
        <v>107561</v>
      </c>
    </row>
    <row r="7" spans="1:6" x14ac:dyDescent="0.3">
      <c r="A7" t="s">
        <v>22</v>
      </c>
      <c r="B7" t="s">
        <v>13</v>
      </c>
      <c r="C7">
        <v>206991</v>
      </c>
    </row>
    <row r="8" spans="1:6" x14ac:dyDescent="0.3">
      <c r="A8" t="s">
        <v>14</v>
      </c>
      <c r="B8" t="s">
        <v>8</v>
      </c>
      <c r="C8">
        <v>185668</v>
      </c>
    </row>
    <row r="9" spans="1:6" x14ac:dyDescent="0.3">
      <c r="A9" t="s">
        <v>17</v>
      </c>
      <c r="B9" t="s">
        <v>10</v>
      </c>
      <c r="C9">
        <v>395018</v>
      </c>
    </row>
    <row r="15" spans="1:6" x14ac:dyDescent="0.3">
      <c r="E15" t="s">
        <v>45</v>
      </c>
    </row>
    <row r="16" spans="1:6" x14ac:dyDescent="0.3">
      <c r="E16" t="s">
        <v>24</v>
      </c>
      <c r="F16">
        <f>VLOOKUP(A2,A2:C9,3,FALSE)</f>
        <v>494885</v>
      </c>
    </row>
    <row r="18" spans="5:6" x14ac:dyDescent="0.3">
      <c r="E18" t="s">
        <v>46</v>
      </c>
    </row>
    <row r="19" spans="5:6" x14ac:dyDescent="0.3">
      <c r="E19" t="s">
        <v>24</v>
      </c>
      <c r="F19">
        <f>HLOOKUP(C1,A1:C9,2,FALSE)</f>
        <v>494885</v>
      </c>
    </row>
    <row r="21" spans="5:6" x14ac:dyDescent="0.3">
      <c r="E21" t="s">
        <v>47</v>
      </c>
    </row>
    <row r="22" spans="5:6" x14ac:dyDescent="0.3">
      <c r="E22" t="s">
        <v>24</v>
      </c>
      <c r="F22">
        <f>_xlfn.XLOOKUP(A3,A2:A9,C2:C9,"",0)</f>
        <v>340065</v>
      </c>
    </row>
    <row r="24" spans="5:6" x14ac:dyDescent="0.3">
      <c r="E24" t="s">
        <v>48</v>
      </c>
    </row>
    <row r="25" spans="5:6" x14ac:dyDescent="0.3">
      <c r="E25" t="s">
        <v>24</v>
      </c>
      <c r="F25" t="str">
        <f>_xlfn.XLOOKUP(A4,A2:A9,B2:B9,"Not Asigned",0)</f>
        <v>West</v>
      </c>
    </row>
    <row r="27" spans="5:6" x14ac:dyDescent="0.3">
      <c r="E27" t="s">
        <v>49</v>
      </c>
    </row>
    <row r="28" spans="5:6" x14ac:dyDescent="0.3">
      <c r="E28" t="s">
        <v>24</v>
      </c>
    </row>
    <row r="30" spans="5:6" x14ac:dyDescent="0.3">
      <c r="E30" t="s">
        <v>64</v>
      </c>
    </row>
    <row r="31" spans="5:6" x14ac:dyDescent="0.3">
      <c r="E31" t="s">
        <v>24</v>
      </c>
    </row>
    <row r="33" spans="5:6" x14ac:dyDescent="0.3">
      <c r="E33" t="s">
        <v>50</v>
      </c>
    </row>
    <row r="34" spans="5:6" x14ac:dyDescent="0.3">
      <c r="E34" t="s">
        <v>24</v>
      </c>
      <c r="F34">
        <f>VLOOKUP("Priya",A2:C9,3,FALSE)</f>
        <v>206991</v>
      </c>
    </row>
    <row r="36" spans="5:6" x14ac:dyDescent="0.3">
      <c r="E36" t="s">
        <v>51</v>
      </c>
    </row>
    <row r="37" spans="5:6" x14ac:dyDescent="0.3">
      <c r="E37" t="s">
        <v>24</v>
      </c>
      <c r="F37" t="str">
        <f>VLOOKUP("Neha",A2:C9,2,FALSE)</f>
        <v>North</v>
      </c>
    </row>
    <row r="39" spans="5:6" x14ac:dyDescent="0.3">
      <c r="E39" t="s">
        <v>52</v>
      </c>
    </row>
    <row r="40" spans="5:6" x14ac:dyDescent="0.3">
      <c r="E40" t="s">
        <v>24</v>
      </c>
      <c r="F40">
        <f>VLOOKUP("Arjun",A2:C9,3,FALSE)</f>
        <v>185668</v>
      </c>
    </row>
    <row r="42" spans="5:6" x14ac:dyDescent="0.3">
      <c r="E42" t="s">
        <v>53</v>
      </c>
    </row>
    <row r="43" spans="5:6" x14ac:dyDescent="0.3">
      <c r="E43" t="s">
        <v>24</v>
      </c>
      <c r="F43" t="str">
        <f>VLOOKUP("Amit",A2:C9,2,FALSE)</f>
        <v>South</v>
      </c>
    </row>
  </sheetData>
  <conditionalFormatting sqref="F16">
    <cfRule type="expression" dxfId="9" priority="1">
      <formula>F16=F17</formula>
    </cfRule>
  </conditionalFormatting>
  <conditionalFormatting sqref="F19">
    <cfRule type="expression" dxfId="8" priority="2">
      <formula>F19=F20</formula>
    </cfRule>
  </conditionalFormatting>
  <conditionalFormatting sqref="F22">
    <cfRule type="expression" dxfId="7" priority="3">
      <formula>F22=F23</formula>
    </cfRule>
  </conditionalFormatting>
  <conditionalFormatting sqref="F25">
    <cfRule type="expression" dxfId="6" priority="4">
      <formula>F25=F26</formula>
    </cfRule>
  </conditionalFormatting>
  <conditionalFormatting sqref="F28">
    <cfRule type="expression" dxfId="5" priority="5">
      <formula>F28=F29</formula>
    </cfRule>
  </conditionalFormatting>
  <conditionalFormatting sqref="F31">
    <cfRule type="expression" dxfId="4" priority="6">
      <formula>F31=F32</formula>
    </cfRule>
  </conditionalFormatting>
  <conditionalFormatting sqref="F34">
    <cfRule type="expression" dxfId="3" priority="7">
      <formula>F34=F35</formula>
    </cfRule>
  </conditionalFormatting>
  <conditionalFormatting sqref="F37">
    <cfRule type="expression" dxfId="2" priority="8">
      <formula>F37=F38</formula>
    </cfRule>
  </conditionalFormatting>
  <conditionalFormatting sqref="F40">
    <cfRule type="expression" dxfId="1" priority="9">
      <formula>F40=F41</formula>
    </cfRule>
  </conditionalFormatting>
  <conditionalFormatting sqref="F43">
    <cfRule type="expression" dxfId="0" priority="10">
      <formula>F43=F44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"/>
  <sheetViews>
    <sheetView topLeftCell="A16" workbookViewId="0">
      <selection activeCell="B69" sqref="B69"/>
    </sheetView>
  </sheetViews>
  <sheetFormatPr defaultRowHeight="14.4" x14ac:dyDescent="0.3"/>
  <cols>
    <col min="1" max="1" width="47.77734375" bestFit="1" customWidth="1"/>
    <col min="2" max="2" width="12.5546875" bestFit="1" customWidth="1"/>
    <col min="3" max="3" width="13.21875" bestFit="1" customWidth="1"/>
  </cols>
  <sheetData>
    <row r="1" spans="1:3" x14ac:dyDescent="0.3">
      <c r="A1" t="s">
        <v>54</v>
      </c>
    </row>
    <row r="3" spans="1:3" x14ac:dyDescent="0.3">
      <c r="A3" t="s">
        <v>55</v>
      </c>
      <c r="B3" s="4" t="s">
        <v>2</v>
      </c>
      <c r="C3" t="s">
        <v>66</v>
      </c>
    </row>
    <row r="4" spans="1:3" x14ac:dyDescent="0.3">
      <c r="B4" s="5" t="s">
        <v>13</v>
      </c>
      <c r="C4">
        <v>10422086</v>
      </c>
    </row>
    <row r="5" spans="1:3" x14ac:dyDescent="0.3">
      <c r="B5" s="5" t="s">
        <v>10</v>
      </c>
      <c r="C5">
        <v>7469321</v>
      </c>
    </row>
    <row r="6" spans="1:3" x14ac:dyDescent="0.3">
      <c r="B6" s="5" t="s">
        <v>15</v>
      </c>
      <c r="C6">
        <v>5917049</v>
      </c>
    </row>
    <row r="7" spans="1:3" x14ac:dyDescent="0.3">
      <c r="B7" s="5" t="s">
        <v>8</v>
      </c>
      <c r="C7">
        <v>9764949</v>
      </c>
    </row>
    <row r="8" spans="1:3" x14ac:dyDescent="0.3">
      <c r="B8" s="5" t="s">
        <v>65</v>
      </c>
      <c r="C8">
        <v>33573405</v>
      </c>
    </row>
    <row r="10" spans="1:3" x14ac:dyDescent="0.3">
      <c r="A10" t="s">
        <v>56</v>
      </c>
      <c r="B10" s="4" t="s">
        <v>3</v>
      </c>
      <c r="C10" t="s">
        <v>67</v>
      </c>
    </row>
    <row r="11" spans="1:3" x14ac:dyDescent="0.3">
      <c r="B11" s="5" t="s">
        <v>16</v>
      </c>
      <c r="C11">
        <v>2037</v>
      </c>
    </row>
    <row r="12" spans="1:3" x14ac:dyDescent="0.3">
      <c r="B12" s="5" t="s">
        <v>20</v>
      </c>
      <c r="C12">
        <v>2787</v>
      </c>
    </row>
    <row r="13" spans="1:3" x14ac:dyDescent="0.3">
      <c r="B13" s="5" t="s">
        <v>11</v>
      </c>
      <c r="C13">
        <v>3446</v>
      </c>
    </row>
    <row r="14" spans="1:3" x14ac:dyDescent="0.3">
      <c r="B14" s="5" t="s">
        <v>9</v>
      </c>
      <c r="C14">
        <v>3655</v>
      </c>
    </row>
    <row r="15" spans="1:3" x14ac:dyDescent="0.3">
      <c r="B15" s="5" t="s">
        <v>65</v>
      </c>
      <c r="C15">
        <v>11925</v>
      </c>
    </row>
    <row r="17" spans="1:3" x14ac:dyDescent="0.3">
      <c r="A17" t="s">
        <v>57</v>
      </c>
      <c r="B17" s="4" t="s">
        <v>1</v>
      </c>
      <c r="C17" t="s">
        <v>66</v>
      </c>
    </row>
    <row r="18" spans="1:3" x14ac:dyDescent="0.3">
      <c r="B18" s="5" t="s">
        <v>7</v>
      </c>
      <c r="C18">
        <v>5531461</v>
      </c>
    </row>
    <row r="19" spans="1:3" x14ac:dyDescent="0.3">
      <c r="B19" s="5" t="s">
        <v>14</v>
      </c>
      <c r="C19">
        <v>3420931</v>
      </c>
    </row>
    <row r="20" spans="1:3" x14ac:dyDescent="0.3">
      <c r="B20" s="5" t="s">
        <v>18</v>
      </c>
      <c r="C20">
        <v>4091018</v>
      </c>
    </row>
    <row r="21" spans="1:3" x14ac:dyDescent="0.3">
      <c r="B21" s="5" t="s">
        <v>17</v>
      </c>
      <c r="C21">
        <v>4554976</v>
      </c>
    </row>
    <row r="22" spans="1:3" x14ac:dyDescent="0.3">
      <c r="B22" s="5" t="s">
        <v>22</v>
      </c>
      <c r="C22">
        <v>5241081</v>
      </c>
    </row>
    <row r="23" spans="1:3" x14ac:dyDescent="0.3">
      <c r="B23" s="5" t="s">
        <v>21</v>
      </c>
      <c r="C23">
        <v>3114715</v>
      </c>
    </row>
    <row r="24" spans="1:3" x14ac:dyDescent="0.3">
      <c r="B24" s="5" t="s">
        <v>12</v>
      </c>
      <c r="C24">
        <v>4931396</v>
      </c>
    </row>
    <row r="25" spans="1:3" x14ac:dyDescent="0.3">
      <c r="B25" s="5" t="s">
        <v>19</v>
      </c>
      <c r="C25">
        <v>2687827</v>
      </c>
    </row>
    <row r="26" spans="1:3" x14ac:dyDescent="0.3">
      <c r="B26" s="5" t="s">
        <v>65</v>
      </c>
      <c r="C26">
        <v>33573405</v>
      </c>
    </row>
    <row r="28" spans="1:3" x14ac:dyDescent="0.3">
      <c r="A28" t="s">
        <v>58</v>
      </c>
    </row>
    <row r="29" spans="1:3" x14ac:dyDescent="0.3">
      <c r="A29" t="s">
        <v>59</v>
      </c>
    </row>
    <row r="30" spans="1:3" x14ac:dyDescent="0.3">
      <c r="A30" t="s">
        <v>60</v>
      </c>
    </row>
    <row r="54" spans="1:3" x14ac:dyDescent="0.3">
      <c r="A54" t="s">
        <v>61</v>
      </c>
      <c r="B54" s="4" t="s">
        <v>1</v>
      </c>
      <c r="C54" t="s">
        <v>69</v>
      </c>
    </row>
    <row r="55" spans="1:3" x14ac:dyDescent="0.3">
      <c r="B55" s="5" t="s">
        <v>7</v>
      </c>
      <c r="C55">
        <v>1</v>
      </c>
    </row>
    <row r="56" spans="1:3" x14ac:dyDescent="0.3">
      <c r="B56" s="5" t="s">
        <v>22</v>
      </c>
      <c r="C56">
        <v>2</v>
      </c>
    </row>
    <row r="57" spans="1:3" x14ac:dyDescent="0.3">
      <c r="B57" s="5" t="s">
        <v>12</v>
      </c>
      <c r="C57">
        <v>3</v>
      </c>
    </row>
    <row r="58" spans="1:3" x14ac:dyDescent="0.3">
      <c r="B58" s="5" t="s">
        <v>65</v>
      </c>
    </row>
    <row r="60" spans="1:3" x14ac:dyDescent="0.3">
      <c r="A60" t="s">
        <v>62</v>
      </c>
      <c r="B60" s="4" t="s">
        <v>2</v>
      </c>
      <c r="C60" t="s">
        <v>68</v>
      </c>
    </row>
    <row r="61" spans="1:3" x14ac:dyDescent="0.3">
      <c r="B61" s="5" t="s">
        <v>13</v>
      </c>
      <c r="C61" s="6">
        <v>0.31042683933905424</v>
      </c>
    </row>
    <row r="62" spans="1:3" x14ac:dyDescent="0.3">
      <c r="B62" s="5" t="s">
        <v>10</v>
      </c>
      <c r="C62" s="6">
        <v>0.22247731500573148</v>
      </c>
    </row>
    <row r="63" spans="1:3" x14ac:dyDescent="0.3">
      <c r="B63" s="5" t="s">
        <v>15</v>
      </c>
      <c r="C63" s="6">
        <v>0.1762421476165435</v>
      </c>
    </row>
    <row r="64" spans="1:3" x14ac:dyDescent="0.3">
      <c r="B64" s="5" t="s">
        <v>8</v>
      </c>
      <c r="C64" s="6">
        <v>0.29085369803867078</v>
      </c>
    </row>
    <row r="65" spans="1:3" x14ac:dyDescent="0.3">
      <c r="B65" s="5" t="s">
        <v>65</v>
      </c>
      <c r="C65" s="6">
        <v>1</v>
      </c>
    </row>
    <row r="67" spans="1:3" x14ac:dyDescent="0.3">
      <c r="A6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Basic_10Q</vt:lpstr>
      <vt:lpstr>Intermediate 10Q</vt:lpstr>
      <vt:lpstr>Lookup_10Q</vt:lpstr>
      <vt:lpstr>Pivot_Dashboard_Q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tamkeen ahmad</cp:lastModifiedBy>
  <dcterms:created xsi:type="dcterms:W3CDTF">2026-02-11T05:52:41Z</dcterms:created>
  <dcterms:modified xsi:type="dcterms:W3CDTF">2026-02-11T07:52:36Z</dcterms:modified>
</cp:coreProperties>
</file>